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éeme" sheetId="1" state="visible" r:id="rId1"/>
    <sheet name="Resumen" sheetId="2" state="visible" r:id="rId2"/>
    <sheet name="Políticas" sheetId="3" state="visible" r:id="rId3"/>
    <sheet name="Instrumentos" sheetId="4" state="visible" r:id="rId4"/>
    <sheet name="Relaciones" sheetId="5" state="visible" r:id="rId5"/>
  </sheets>
  <definedNames>
    <definedName name="_xlnm._FilterDatabase" localSheetId="2" hidden="1">'Políticas'!$A$1:$H$15</definedName>
    <definedName name="_xlnm._FilterDatabase" localSheetId="3" hidden="1">'Instrumentos'!$A$1:$L$94</definedName>
    <definedName name="_xlnm._FilterDatabase" localSheetId="4" hidden="1">'Relaciones'!$A$1:$D$23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font>
    <font>
      <name val="Arial"/>
    </font>
    <font>
      <name val="Arial"/>
      <b val="1"/>
      <sz val="16"/>
    </font>
    <font>
      <name val="Arial"/>
      <i val="1"/>
      <color rgb="005D6371"/>
    </font>
  </fonts>
  <fills count="3">
    <fill>
      <patternFill/>
    </fill>
    <fill>
      <patternFill patternType="gray125"/>
    </fill>
    <fill>
      <patternFill patternType="solid">
        <fgColor rgb="00ECEAFD"/>
      </patternFill>
    </fill>
  </fills>
  <borders count="1">
    <border>
      <left/>
      <right/>
      <top/>
      <bottom/>
      <diagonal/>
    </border>
  </borders>
  <cellStyleXfs count="1">
    <xf numFmtId="0" fontId="0" fillId="0" borderId="0"/>
  </cellStyleXfs>
  <cellXfs count="11">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3" fillId="0" borderId="0" pivotButton="0" quotePrefix="0" xfId="0"/>
    <xf numFmtId="0" fontId="4" fillId="0" borderId="0" pivotButton="0" quotePrefix="0" xfId="0"/>
    <xf numFmtId="0" fontId="1" fillId="2" borderId="0" pivotButton="0" quotePrefix="0" xfId="0"/>
    <xf numFmtId="0" fontId="2" fillId="0" borderId="0" pivotButton="0" quotePrefix="0" xfId="0"/>
    <xf numFmtId="0" fontId="1"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110" customWidth="1" min="1" max="1"/>
  </cols>
  <sheetData>
    <row r="1">
      <c r="A1" s="1" t="inlineStr">
        <is>
          <t>La red de políticas e instrumentos · Ciencia, Tecnología e Innovación</t>
        </is>
      </c>
    </row>
    <row r="2">
      <c r="A2" s="2" t="inlineStr">
        <is>
          <t>Laboratorio de Cocreación · empalme 2018–2022 ↔ 2022–2026</t>
        </is>
      </c>
    </row>
    <row r="3">
      <c r="A3" s="3" t="inlineStr"/>
    </row>
    <row r="4">
      <c r="A4" s="4" t="inlineStr">
        <is>
          <t>Para qué sirve</t>
        </is>
      </c>
    </row>
    <row r="5">
      <c r="A5" s="3" t="inlineStr">
        <is>
          <t>Es la misma red del sitio, en tabla, para consultarla mientras llenan la bitácora. Usen los filtros de cada columna (flecha del encabezado) para ver, por ejemplo, los instrumentos de su política o los que se terminaron.</t>
        </is>
      </c>
    </row>
    <row r="6">
      <c r="A6" s="3" t="inlineStr">
        <is>
          <t>Es un punto de partida, no la verdad: si el informe o la información complementaria dicen otra cosa, anótenlo en la bitácora.</t>
        </is>
      </c>
    </row>
    <row r="7">
      <c r="A7" s="3" t="inlineStr"/>
    </row>
    <row r="8">
      <c r="A8" s="4" t="inlineStr">
        <is>
          <t>Hojas</t>
        </is>
      </c>
    </row>
    <row r="9">
      <c r="A9" s="3" t="inlineStr">
        <is>
          <t>Resumen — cuántos instrumentos hay por modo de cambio y tipo NATO, y cuántas políticas por cambio del objetivo.</t>
        </is>
      </c>
    </row>
    <row r="10">
      <c r="A10" s="3" t="inlineStr">
        <is>
          <t>Políticas — cada área con el objetivo que declara cada gobierno y cómo cambió.</t>
        </is>
      </c>
    </row>
    <row r="11">
      <c r="A11" s="3" t="inlineStr">
        <is>
          <t>Instrumentos — tipo NATO, modo de cambio, presencia por gobierno, políticas, entidades, qué pasó y páginas del informe.</t>
        </is>
      </c>
    </row>
    <row r="12">
      <c r="A12" s="3" t="inlineStr">
        <is>
          <t>Relaciones — cuando un instrumento habilita, financia, depende de o se encadena con otro.</t>
        </is>
      </c>
    </row>
    <row r="13">
      <c r="A13" s="3" t="inlineStr"/>
    </row>
    <row r="14">
      <c r="A14" s="4" t="inlineStr">
        <is>
          <t>Presencia por gobierno</t>
        </is>
      </c>
    </row>
    <row r="15">
      <c r="A15" s="3" t="inlineStr">
        <is>
          <t>propuesto — Anunciado o planeado, sin ejecución reportada.</t>
        </is>
      </c>
    </row>
    <row r="16">
      <c r="A16" s="3" t="inlineStr">
        <is>
          <t>logrado — Ejecutado, con resultado reportado (idealmente con cifra).</t>
        </is>
      </c>
    </row>
    <row r="17">
      <c r="A17" s="3" t="inlineStr">
        <is>
          <t>pendiente — Inconcluso, en riesgo, o recomendado al gobierno entrante.</t>
        </is>
      </c>
    </row>
    <row r="18">
      <c r="A18" s="3" t="inlineStr">
        <is>
          <t>— — no aparece en el informe de ese gobierno.</t>
        </is>
      </c>
    </row>
    <row r="19">
      <c r="A19" s="3" t="inlineStr"/>
    </row>
    <row r="20">
      <c r="A20" s="4" t="inlineStr">
        <is>
          <t>Modo de cambio del instrumento</t>
        </is>
      </c>
    </row>
    <row r="21">
      <c r="A21" s="3" t="inlineStr">
        <is>
          <t>continuidad estable — Mismo instrumento, mismo modo. Persiste (dependencia de la trayectoria).</t>
        </is>
      </c>
    </row>
    <row r="22">
      <c r="A22" s="3" t="inlineStr">
        <is>
          <t>conversión — Mismo instrumento, redesplegado hacia otro uso o modo.</t>
        </is>
      </c>
    </row>
    <row r="23">
      <c r="A23" s="3" t="inlineStr">
        <is>
          <t>estratificación — Instrumento presente solo en el gobierno posterior (se suma).</t>
        </is>
      </c>
    </row>
    <row r="24">
      <c r="A24" s="3" t="inlineStr">
        <is>
          <t>terminación — Instrumento presente solo en el gobierno anterior (se deja o se reemplaza).</t>
        </is>
      </c>
    </row>
    <row r="25">
      <c r="A25" s="3" t="inlineStr">
        <is>
          <t>reversión — Persiste pero invierte su rumbo o signo.</t>
        </is>
      </c>
    </row>
    <row r="26">
      <c r="A26" s="3" t="inlineStr">
        <is>
          <t>deriva — Persiste formalmente, pero su efecto cambia con el entorno.</t>
        </is>
      </c>
    </row>
    <row r="27">
      <c r="A27" s="3" t="inlineStr"/>
    </row>
    <row r="28">
      <c r="A28" s="4" t="inlineStr">
        <is>
          <t>Tipo de instrumento (NATO, Hood)</t>
        </is>
      </c>
    </row>
    <row r="29">
      <c r="A29" s="3" t="inlineStr">
        <is>
          <t>nodalidad — Información: datos, comunicación, orientación (p. ej. un sistema de información).</t>
        </is>
      </c>
    </row>
    <row r="30">
      <c r="A30" s="3" t="inlineStr">
        <is>
          <t>autoridad — Normas y obligaciones (p. ej. una ley o un decreto).</t>
        </is>
      </c>
    </row>
    <row r="31">
      <c r="A31" s="3" t="inlineStr">
        <is>
          <t>tesoro — Dinero (p. ej. un fondo o una convocatoria).</t>
        </is>
      </c>
    </row>
    <row r="32">
      <c r="A32" s="3" t="inlineStr">
        <is>
          <t>organización — Capacidad directa del Estado (p. ej. un programa ejecutado por una entidad).</t>
        </is>
      </c>
    </row>
    <row r="33">
      <c r="A33" s="3" t="inlineStr"/>
    </row>
    <row r="34">
      <c r="A34" s="4" t="inlineStr">
        <is>
          <t>Cambio del objetivo de la política</t>
        </is>
      </c>
    </row>
    <row r="35">
      <c r="A35" s="3" t="inlineStr">
        <is>
          <t>se mantiene — Ambos gobiernos declaran la política con el mismo objetivo.</t>
        </is>
      </c>
    </row>
    <row r="36">
      <c r="A36" s="3" t="inlineStr">
        <is>
          <t>se reformula — Ambos gobiernos atienden el área, pero con otro enfoque u objetivo.</t>
        </is>
      </c>
    </row>
    <row r="37">
      <c r="A37" s="3" t="inlineStr">
        <is>
          <t>no declarado — El gobierno posterior no declara objetivo para el área (sus instrumentos pueden seguir).</t>
        </is>
      </c>
    </row>
    <row r="38">
      <c r="A38" s="3" t="inlineStr">
        <is>
          <t>nuevo — Solo el gobierno posterior declara el área.</t>
        </is>
      </c>
    </row>
    <row r="39">
      <c r="A39" s="3" t="inlineStr"/>
    </row>
    <row r="40">
      <c r="A40" s="2" t="inlineStr">
        <is>
          <t>Glosario completo y la actividad: en el sitio del laboratorio.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8" customWidth="1" min="1" max="1"/>
    <col width="12" customWidth="1" min="2" max="2"/>
  </cols>
  <sheetData>
    <row r="1">
      <c r="A1" s="5" t="inlineStr">
        <is>
          <t>Resumen de la red · Ciencia, Tecnología e Innovación</t>
        </is>
      </c>
    </row>
    <row r="2">
      <c r="A2" s="6" t="inlineStr">
        <is>
          <t>Conteos calculados con fórmulas sobre las hojas Instrumentos y Políticas.</t>
        </is>
      </c>
    </row>
    <row r="4">
      <c r="A4" s="7" t="inlineStr">
        <is>
          <t>Instrumentos por modo de cambio</t>
        </is>
      </c>
      <c r="B4" s="7" t="inlineStr">
        <is>
          <t>Cantidad</t>
        </is>
      </c>
    </row>
    <row r="5">
      <c r="A5" s="8" t="inlineStr">
        <is>
          <t>continuidad estable</t>
        </is>
      </c>
      <c r="B5" s="8">
        <f>COUNTIF('Instrumentos'!$C$2:$C$94,A5)</f>
        <v/>
      </c>
    </row>
    <row r="6">
      <c r="A6" s="8" t="inlineStr">
        <is>
          <t>conversión</t>
        </is>
      </c>
      <c r="B6" s="8">
        <f>COUNTIF('Instrumentos'!$C$2:$C$94,A6)</f>
        <v/>
      </c>
    </row>
    <row r="7">
      <c r="A7" s="8" t="inlineStr">
        <is>
          <t>estratificación</t>
        </is>
      </c>
      <c r="B7" s="8">
        <f>COUNTIF('Instrumentos'!$C$2:$C$94,A7)</f>
        <v/>
      </c>
    </row>
    <row r="8">
      <c r="A8" s="8" t="inlineStr">
        <is>
          <t>terminación</t>
        </is>
      </c>
      <c r="B8" s="8">
        <f>COUNTIF('Instrumentos'!$C$2:$C$94,A8)</f>
        <v/>
      </c>
    </row>
    <row r="9">
      <c r="A9" s="8" t="inlineStr">
        <is>
          <t>reversión</t>
        </is>
      </c>
      <c r="B9" s="8">
        <f>COUNTIF('Instrumentos'!$C$2:$C$94,A9)</f>
        <v/>
      </c>
    </row>
    <row r="10">
      <c r="A10" s="8" t="inlineStr">
        <is>
          <t>deriva</t>
        </is>
      </c>
      <c r="B10" s="8">
        <f>COUNTIF('Instrumentos'!$C$2:$C$94,A10)</f>
        <v/>
      </c>
    </row>
    <row r="11">
      <c r="A11" s="9" t="inlineStr">
        <is>
          <t>Total</t>
        </is>
      </c>
      <c r="B11" s="9">
        <f>SUM(B5:B10)</f>
        <v/>
      </c>
    </row>
    <row r="13">
      <c r="A13" s="7" t="inlineStr">
        <is>
          <t>Instrumentos por tipo NATO</t>
        </is>
      </c>
      <c r="B13" s="7" t="inlineStr">
        <is>
          <t>Cantidad</t>
        </is>
      </c>
    </row>
    <row r="14">
      <c r="A14" s="8" t="inlineStr">
        <is>
          <t>nodalidad</t>
        </is>
      </c>
      <c r="B14" s="8">
        <f>COUNTIF('Instrumentos'!$B$2:$B$94,A14)</f>
        <v/>
      </c>
    </row>
    <row r="15">
      <c r="A15" s="8" t="inlineStr">
        <is>
          <t>autoridad</t>
        </is>
      </c>
      <c r="B15" s="8">
        <f>COUNTIF('Instrumentos'!$B$2:$B$94,A15)</f>
        <v/>
      </c>
    </row>
    <row r="16">
      <c r="A16" s="8" t="inlineStr">
        <is>
          <t>tesoro</t>
        </is>
      </c>
      <c r="B16" s="8">
        <f>COUNTIF('Instrumentos'!$B$2:$B$94,A16)</f>
        <v/>
      </c>
    </row>
    <row r="17">
      <c r="A17" s="8" t="inlineStr">
        <is>
          <t>organización</t>
        </is>
      </c>
      <c r="B17" s="8">
        <f>COUNTIF('Instrumentos'!$B$2:$B$94,A17)</f>
        <v/>
      </c>
    </row>
    <row r="18">
      <c r="A18" s="9" t="inlineStr">
        <is>
          <t>Total</t>
        </is>
      </c>
      <c r="B18" s="9">
        <f>SUM(B14:B17)</f>
        <v/>
      </c>
    </row>
    <row r="20">
      <c r="A20" s="7" t="inlineStr">
        <is>
          <t>Políticas por cambio del objetivo</t>
        </is>
      </c>
      <c r="B20" s="7" t="inlineStr">
        <is>
          <t>Cantidad</t>
        </is>
      </c>
    </row>
    <row r="21">
      <c r="A21" s="8" t="inlineStr">
        <is>
          <t>se mantiene</t>
        </is>
      </c>
      <c r="B21" s="8">
        <f>COUNTIF('Políticas'!$B$2:$B$15,A21)</f>
        <v/>
      </c>
    </row>
    <row r="22">
      <c r="A22" s="8" t="inlineStr">
        <is>
          <t>se reformula</t>
        </is>
      </c>
      <c r="B22" s="8">
        <f>COUNTIF('Políticas'!$B$2:$B$15,A22)</f>
        <v/>
      </c>
    </row>
    <row r="23">
      <c r="A23" s="8" t="inlineStr">
        <is>
          <t>no declarado</t>
        </is>
      </c>
      <c r="B23" s="8">
        <f>COUNTIF('Políticas'!$B$2:$B$15,A23)</f>
        <v/>
      </c>
    </row>
    <row r="24">
      <c r="A24" s="8" t="inlineStr">
        <is>
          <t>nuevo</t>
        </is>
      </c>
      <c r="B24" s="8">
        <f>COUNTIF('Políticas'!$B$2:$B$15,A24)</f>
        <v/>
      </c>
    </row>
    <row r="25">
      <c r="A25" s="9" t="inlineStr">
        <is>
          <t>Total</t>
        </is>
      </c>
      <c r="B25" s="9">
        <f>SUM(B21:B24)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50" customWidth="1" min="3" max="3"/>
    <col width="32" customWidth="1" min="4" max="4"/>
    <col width="50" customWidth="1" min="5" max="5"/>
    <col width="32" customWidth="1" min="6" max="6"/>
    <col width="12" customWidth="1" min="7" max="7"/>
    <col width="26" customWidth="1" min="8" max="8"/>
  </cols>
  <sheetData>
    <row r="1">
      <c r="A1" s="10" t="inlineStr">
        <is>
          <t>Política pública (área)</t>
        </is>
      </c>
      <c r="B1" s="10" t="inlineStr">
        <is>
          <t>Cambio del objetivo</t>
        </is>
      </c>
      <c r="C1" s="10" t="inlineStr">
        <is>
          <t>Objetivo 2018–2022</t>
        </is>
      </c>
      <c r="D1" s="10" t="inlineStr">
        <is>
          <t>Declarada como (2018–2022)</t>
        </is>
      </c>
      <c r="E1" s="10" t="inlineStr">
        <is>
          <t>Objetivo 2022–2026</t>
        </is>
      </c>
      <c r="F1" s="10" t="inlineStr">
        <is>
          <t>Declarada como (2022–2026)</t>
        </is>
      </c>
      <c r="G1" s="10" t="inlineStr">
        <is>
          <t>N.º de instrumentos</t>
        </is>
      </c>
      <c r="H1" s="10" t="inlineStr">
        <is>
          <t>id</t>
        </is>
      </c>
    </row>
    <row r="2">
      <c r="A2" s="3" t="inlineStr">
        <is>
          <t>Orientación estratégica de la CTeI</t>
        </is>
      </c>
      <c r="B2" s="3" t="inlineStr">
        <is>
          <t>se reformula</t>
        </is>
      </c>
      <c r="C2" s="3" t="inlineStr">
        <is>
          <t>Recomendar al país una hoja de ruta de política pública de CTeI orientada por ocho focos temáticos estratégicos.
Incrementar la contribución de la CTeI al desarrollo social, económico, ambiental y sostenible del país con enfoque diferencial, territorial y participativo.</t>
        </is>
      </c>
      <c r="D2" s="3" t="inlineStr">
        <is>
          <t>Misión Internacional de Sabios (MIS) 2019 y sus recomendaciones; Política Nacional de Ciencia, Tecnología e Innovación</t>
        </is>
      </c>
      <c r="E2" s="3" t="inlineStr">
        <is>
          <t>Orientar la ciencia, tecnología e innovación del país hacia cinco grandes desafíos nacionales de desarrollo mediante articulación multisectorial.
Incrementar la contribución de la CTeI al desarrollo social, económico, ambiental y sostenible del país con enfoque diferencial, territorial y participativo.</t>
        </is>
      </c>
      <c r="F2" s="3" t="inlineStr">
        <is>
          <t>Políticas de Investigación e Innovación Orientadas por Misiones (PIIOM); Política Nacional de Ciencia, Tecnología e Innovación</t>
        </is>
      </c>
      <c r="G2" s="3" t="n">
        <v>27</v>
      </c>
      <c r="H2" s="3" t="inlineStr">
        <is>
          <t>orientacion-estrategica</t>
        </is>
      </c>
    </row>
    <row r="3">
      <c r="A3" s="3" t="inlineStr">
        <is>
          <t>Bioeconomía</t>
        </is>
      </c>
      <c r="B3" s="3" t="inlineStr">
        <is>
          <t>se reformula</t>
        </is>
      </c>
      <c r="C3" s="3" t="inlineStr">
        <is>
          <t>Diseñar e implementar la misión de bioeconomía para promover el aprovechamiento sostenible de la biodiversidad.</t>
        </is>
      </c>
      <c r="D3" s="3" t="inlineStr">
        <is>
          <t>Economía Bioproductiva / Programa Colombia BIO</t>
        </is>
      </c>
      <c r="E3" s="3" t="inlineStr">
        <is>
          <t>Impulsar la transformación de la economía colombiana fortaleciendo cadenas de valor basadas en el aprovechamiento sostenible de la biodiversidad y la biomasa.</t>
        </is>
      </c>
      <c r="F3" s="3" t="inlineStr">
        <is>
          <t>Misión Bioeconomía y Territorio</t>
        </is>
      </c>
      <c r="G3" s="3" t="n">
        <v>22</v>
      </c>
      <c r="H3" s="3" t="inlineStr">
        <is>
          <t>bioeconomia</t>
        </is>
      </c>
    </row>
    <row r="4">
      <c r="A4" s="3" t="inlineStr">
        <is>
          <t>Transición energética</t>
        </is>
      </c>
      <c r="B4" s="3" t="inlineStr">
        <is>
          <t>nuevo</t>
        </is>
      </c>
      <c r="C4" s="3" t="inlineStr">
        <is>
          <t>No declarado en este informe</t>
        </is>
      </c>
      <c r="D4" s="3" t="inlineStr"/>
      <c r="E4" s="3" t="inlineStr">
        <is>
          <t>Garantizar la incorporación de nuevos servicios, modelos de negocio y desarrollos tecnológicos nacionales en proyectos de energías renovables y transición energética.</t>
        </is>
      </c>
      <c r="F4" s="3" t="inlineStr">
        <is>
          <t>Misión Transición Energética</t>
        </is>
      </c>
      <c r="G4" s="3" t="n">
        <v>20</v>
      </c>
      <c r="H4" s="3" t="inlineStr">
        <is>
          <t>transicion-energetica</t>
        </is>
      </c>
    </row>
    <row r="5">
      <c r="A5" s="3" t="inlineStr">
        <is>
          <t>Ciencia para la paz</t>
        </is>
      </c>
      <c r="B5" s="3" t="inlineStr">
        <is>
          <t>nuevo</t>
        </is>
      </c>
      <c r="C5" s="3" t="inlineStr">
        <is>
          <t>No declarado en este informe</t>
        </is>
      </c>
      <c r="D5" s="3" t="inlineStr"/>
      <c r="E5" s="3" t="inlineStr">
        <is>
          <t>Comprender las causas del conflicto para construir soluciones que fomenten la Convivencia Pacífica en condiciones de Equidad y Justicia Social.</t>
        </is>
      </c>
      <c r="F5" s="3" t="inlineStr">
        <is>
          <t>Misión Ciencia para la Paz</t>
        </is>
      </c>
      <c r="G5" s="3" t="n">
        <v>12</v>
      </c>
      <c r="H5" s="3" t="inlineStr">
        <is>
          <t>ciencia-para-la-paz</t>
        </is>
      </c>
    </row>
    <row r="6">
      <c r="A6" s="3" t="inlineStr">
        <is>
          <t>Derecho humano a la alimentación</t>
        </is>
      </c>
      <c r="B6" s="3" t="inlineStr">
        <is>
          <t>nuevo</t>
        </is>
      </c>
      <c r="C6" s="3" t="inlineStr">
        <is>
          <t>No declarado en este informe</t>
        </is>
      </c>
      <c r="D6" s="3" t="inlineStr"/>
      <c r="E6" s="3" t="inlineStr">
        <is>
          <t>Garantizar el diálogo de saberes, la creación de conocimiento y el desarrollo de tecnología e investigación agroecológica con participación social.</t>
        </is>
      </c>
      <c r="F6" s="3" t="inlineStr">
        <is>
          <t>Misión Derecho Humano a la Alimentación</t>
        </is>
      </c>
      <c r="G6" s="3" t="n">
        <v>20</v>
      </c>
      <c r="H6" s="3" t="inlineStr">
        <is>
          <t>derecho-alimentacion</t>
        </is>
      </c>
    </row>
    <row r="7">
      <c r="A7" s="3" t="inlineStr">
        <is>
          <t>Soberanía sanitaria y bienestar social</t>
        </is>
      </c>
      <c r="B7" s="3" t="inlineStr">
        <is>
          <t>nuevo</t>
        </is>
      </c>
      <c r="C7" s="3" t="inlineStr">
        <is>
          <t>No declarado en este informe</t>
        </is>
      </c>
      <c r="D7" s="3" t="inlineStr"/>
      <c r="E7" s="3" t="inlineStr">
        <is>
          <t>Garantizar la disponibilidad de conocimientos, tecnologías y servicios innovadores para la salud y el bienestar de la población.</t>
        </is>
      </c>
      <c r="F7" s="3" t="inlineStr">
        <is>
          <t>Misión Soberanía Sanitaria y Bienestar Social</t>
        </is>
      </c>
      <c r="G7" s="3" t="n">
        <v>20</v>
      </c>
      <c r="H7" s="3" t="inlineStr">
        <is>
          <t>soberania-sanitaria</t>
        </is>
      </c>
    </row>
    <row r="8">
      <c r="A8" s="3" t="inlineStr">
        <is>
          <t>Talento humano y capacidades regionales</t>
        </is>
      </c>
      <c r="B8" s="3" t="inlineStr">
        <is>
          <t>se reformula</t>
        </is>
      </c>
      <c r="C8" s="3" t="inlineStr">
        <is>
          <t>Potenciar las capacidades regionales de CTeI (investigación, infraestructura, talento) como motor de desarrollo social y productivo.</t>
        </is>
      </c>
      <c r="D8" s="3" t="inlineStr">
        <is>
          <t>Fortalecer las Capacidades Regionales / Formación y vinculación de capital humano de alto nivel</t>
        </is>
      </c>
      <c r="E8" s="3" t="inlineStr">
        <is>
          <t>Fortalecer el talento humano de alto nivel del país priorizando territorios históricamente excluidos y jóvenes con menor acceso a formación.
Fortalecer la participación de mujeres investigadoras y doctoras en el sistema científico mediante estancias postdoctorales y apoyo económico.</t>
        </is>
      </c>
      <c r="F8" s="3" t="inlineStr">
        <is>
          <t>Programa de Formación de Alto Nivel (doctorados y maestrías); Programa Orquídeas: Mujeres en la Ciencia</t>
        </is>
      </c>
      <c r="G8" s="3" t="n">
        <v>22</v>
      </c>
      <c r="H8" s="3" t="inlineStr">
        <is>
          <t>talento-humano</t>
        </is>
      </c>
    </row>
    <row r="9">
      <c r="A9" s="3" t="inlineStr">
        <is>
          <t>Apropiación social del conocimiento</t>
        </is>
      </c>
      <c r="B9" s="3" t="inlineStr">
        <is>
          <t>se mantiene</t>
        </is>
      </c>
      <c r="C9" s="3" t="inlineStr">
        <is>
          <t>Ampliar las dinámicas de generación, circulación y uso del conocimiento científico y de los saberes ancestrales, cerrando brechas históricas de inequidad en CTeI.</t>
        </is>
      </c>
      <c r="D9" s="3" t="inlineStr">
        <is>
          <t>Apropiación Social del Conocimiento (ASC) y Democratización de la Ciencia</t>
        </is>
      </c>
      <c r="E9" s="3" t="inlineStr">
        <is>
          <t>Ampliar las dinámicas de generación, circulación y uso del conocimiento científico y de los saberes ancestrales, cerrando brechas históricas de inequidad en CTeI.</t>
        </is>
      </c>
      <c r="F9" s="3" t="inlineStr">
        <is>
          <t>Apropiación Social del Conocimiento (ASC) y Democratización de la Ciencia</t>
        </is>
      </c>
      <c r="G9" s="3" t="n">
        <v>12</v>
      </c>
      <c r="H9" s="3" t="inlineStr">
        <is>
          <t>apropiacion-social</t>
        </is>
      </c>
    </row>
    <row r="10">
      <c r="A10" s="3" t="inlineStr">
        <is>
          <t>Ciencia abierta</t>
        </is>
      </c>
      <c r="B10" s="3" t="inlineStr">
        <is>
          <t>nuevo</t>
        </is>
      </c>
      <c r="C10" s="3" t="inlineStr">
        <is>
          <t>No declarado en este informe</t>
        </is>
      </c>
      <c r="D10" s="3" t="inlineStr"/>
      <c r="E10" s="3" t="inlineStr">
        <is>
          <t>Fomentar la ciencia abierta en el país mediante principios de apertura, inclusión y transparencia.</t>
        </is>
      </c>
      <c r="F10" s="3" t="inlineStr">
        <is>
          <t>Política Nacional de Ciencia Abierta</t>
        </is>
      </c>
      <c r="G10" s="3" t="n">
        <v>7</v>
      </c>
      <c r="H10" s="3" t="inlineStr">
        <is>
          <t>ciencia-abierta</t>
        </is>
      </c>
    </row>
    <row r="11">
      <c r="A11" s="3" t="inlineStr">
        <is>
          <t>Innovación empresarial y sofisticación productiva</t>
        </is>
      </c>
      <c r="B11" s="3" t="inlineStr">
        <is>
          <t>no declarado</t>
        </is>
      </c>
      <c r="C11" s="3" t="inlineStr">
        <is>
          <t>Impulsar el desarrollo tecnológico y la innovación para la sofisticación del sector productivo.</t>
        </is>
      </c>
      <c r="D11" s="3" t="inlineStr">
        <is>
          <t>Sofisticación del Sector Productivo / Fortalecimiento de capacidades para la innovación empresarial</t>
        </is>
      </c>
      <c r="E11" s="3" t="inlineStr">
        <is>
          <t>No declarado en este informe</t>
        </is>
      </c>
      <c r="F11" s="3" t="inlineStr"/>
      <c r="G11" s="3" t="n">
        <v>8</v>
      </c>
      <c r="H11" s="3" t="inlineStr">
        <is>
          <t>innovacion-empresarial</t>
        </is>
      </c>
    </row>
    <row r="12">
      <c r="A12" s="3" t="inlineStr">
        <is>
          <t>Beneficios tributarios para CTeI</t>
        </is>
      </c>
      <c r="B12" s="3" t="inlineStr">
        <is>
          <t>se mantiene</t>
        </is>
      </c>
      <c r="C12" s="3" t="inlineStr">
        <is>
          <t>Incentivar la inversión privada en actividades de investigación, desarrollo tecnológico e innovación mediante beneficios tributarios.</t>
        </is>
      </c>
      <c r="D12" s="3" t="inlineStr">
        <is>
          <t>Programa de Beneficios Tributarios para Ciencia, Tecnología e Innovación</t>
        </is>
      </c>
      <c r="E12" s="3" t="inlineStr">
        <is>
          <t>Incentivar la inversión privada en actividades de investigación, desarrollo tecnológico e innovación mediante beneficios tributarios.</t>
        </is>
      </c>
      <c r="F12" s="3" t="inlineStr">
        <is>
          <t>Programa de Beneficios Tributarios para Ciencia, Tecnología e Innovación</t>
        </is>
      </c>
      <c r="G12" s="3" t="n">
        <v>5</v>
      </c>
      <c r="H12" s="3" t="inlineStr">
        <is>
          <t>beneficios-tributarios</t>
        </is>
      </c>
    </row>
    <row r="13">
      <c r="A13" s="3" t="inlineStr">
        <is>
          <t>Internacionalización y diplomacia científica</t>
        </is>
      </c>
      <c r="B13" s="3" t="inlineStr">
        <is>
          <t>se mantiene</t>
        </is>
      </c>
      <c r="C13" s="3" t="inlineStr">
        <is>
          <t>Aumentar la producción de conocimiento científico de alto impacto y posicionar a Colombia en escenarios multilaterales y bilaterales de ciencia global.</t>
        </is>
      </c>
      <c r="D13" s="3" t="inlineStr">
        <is>
          <t>Diplomacia Científica y Cooperación Internacional / Internacionalización del Conocimiento</t>
        </is>
      </c>
      <c r="E13" s="3" t="inlineStr">
        <is>
          <t>Aumentar la producción de conocimiento científico de alto impacto y posicionar a Colombia en escenarios multilaterales y bilaterales de ciencia global.</t>
        </is>
      </c>
      <c r="F13" s="3" t="inlineStr">
        <is>
          <t>Diplomacia Científica y Cooperación Internacional / Internacionalización del Conocimiento</t>
        </is>
      </c>
      <c r="G13" s="3" t="n">
        <v>10</v>
      </c>
      <c r="H13" s="3" t="inlineStr">
        <is>
          <t>internacionalizacion</t>
        </is>
      </c>
    </row>
    <row r="14">
      <c r="A14" s="3" t="inlineStr">
        <is>
          <t>Gobernanza del sistema de CTeI</t>
        </is>
      </c>
      <c r="B14" s="3" t="inlineStr">
        <is>
          <t>se mantiene</t>
        </is>
      </c>
      <c r="C14" s="3" t="inlineStr">
        <is>
          <t>Fortalecer la gobernabilidad de la entidad rectora y la gobernanza del Sistema Nacional de Ciencia, Tecnología e Innovación.</t>
        </is>
      </c>
      <c r="D14" s="3" t="inlineStr">
        <is>
          <t>Modernización institucional y fortalecimiento de la gobernanza del SNCTI</t>
        </is>
      </c>
      <c r="E14" s="3" t="inlineStr">
        <is>
          <t>Fortalecer la gobernabilidad de la entidad rectora y la gobernanza del Sistema Nacional de Ciencia, Tecnología e Innovación.</t>
        </is>
      </c>
      <c r="F14" s="3" t="inlineStr">
        <is>
          <t>Modernización institucional y fortalecimiento de la gobernanza del SNCTI</t>
        </is>
      </c>
      <c r="G14" s="3" t="n">
        <v>9</v>
      </c>
      <c r="H14" s="3" t="inlineStr">
        <is>
          <t>gobernanza-sncti</t>
        </is>
      </c>
    </row>
    <row r="15">
      <c r="A15" s="3" t="inlineStr">
        <is>
          <t>Inteligencia artificial</t>
        </is>
      </c>
      <c r="B15" s="3" t="inlineStr">
        <is>
          <t>nuevo</t>
        </is>
      </c>
      <c r="C15" s="3" t="inlineStr">
        <is>
          <t>No declarado en este informe</t>
        </is>
      </c>
      <c r="D15" s="3" t="inlineStr"/>
      <c r="E15" s="3" t="inlineStr">
        <is>
          <t>Generar capacidades para la investigación, desarrollo, adopción y aprovechamiento ético y sostenible de sistemas de inteligencia artificial en Colombia.</t>
        </is>
      </c>
      <c r="F15" s="3" t="inlineStr">
        <is>
          <t>CONPES 4144 – Política Nacional de Inteligencia Artificial</t>
        </is>
      </c>
      <c r="G15" s="3" t="n">
        <v>7</v>
      </c>
      <c r="H15" s="3" t="inlineStr">
        <is>
          <t>inteligencia-artificial</t>
        </is>
      </c>
    </row>
  </sheetData>
  <autoFilter ref="A1:H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9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3" customWidth="1" min="2" max="2"/>
    <col width="18" customWidth="1" min="3" max="3"/>
    <col width="14" customWidth="1" min="4" max="4"/>
    <col width="14" customWidth="1" min="5" max="5"/>
    <col width="36" customWidth="1" min="6" max="6"/>
    <col width="30" customWidth="1" min="7" max="7"/>
    <col width="50" customWidth="1" min="8" max="8"/>
    <col width="50" customWidth="1" min="9" max="9"/>
    <col width="50" customWidth="1" min="10" max="10"/>
    <col width="26" customWidth="1" min="11" max="11"/>
    <col width="30" customWidth="1" min="12" max="12"/>
  </cols>
  <sheetData>
    <row r="1">
      <c r="A1" s="10" t="inlineStr">
        <is>
          <t>Instrumento</t>
        </is>
      </c>
      <c r="B1" s="10" t="inlineStr">
        <is>
          <t>Tipo NATO</t>
        </is>
      </c>
      <c r="C1" s="10" t="inlineStr">
        <is>
          <t>Modo de cambio</t>
        </is>
      </c>
      <c r="D1" s="10" t="inlineStr">
        <is>
          <t>Presencia 2018–2022</t>
        </is>
      </c>
      <c r="E1" s="10" t="inlineStr">
        <is>
          <t>Presencia 2022–2026</t>
        </is>
      </c>
      <c r="F1" s="10" t="inlineStr">
        <is>
          <t>Políticas a las que sirve</t>
        </is>
      </c>
      <c r="G1" s="10" t="inlineStr">
        <is>
          <t>Entidades</t>
        </is>
      </c>
      <c r="H1" s="10" t="inlineStr">
        <is>
          <t>Qué pasó entre gobiernos</t>
        </is>
      </c>
      <c r="I1" s="10" t="inlineStr">
        <is>
          <t>En 2018–2022</t>
        </is>
      </c>
      <c r="J1" s="10" t="inlineStr">
        <is>
          <t>En 2022–2026</t>
        </is>
      </c>
      <c r="K1" s="10" t="inlineStr">
        <is>
          <t>Evidencia (páginas del informe)</t>
        </is>
      </c>
      <c r="L1" s="10" t="inlineStr">
        <is>
          <t>id</t>
        </is>
      </c>
    </row>
    <row r="2">
      <c r="A2" s="3" t="inlineStr">
        <is>
          <t>Resolución 1452 de 2024 (adopción PIIOM)</t>
        </is>
      </c>
      <c r="B2" s="3" t="inlineStr">
        <is>
          <t>autoridad</t>
        </is>
      </c>
      <c r="C2" s="3" t="inlineStr">
        <is>
          <t>estratificación</t>
        </is>
      </c>
      <c r="D2" s="3" t="inlineStr">
        <is>
          <t>—</t>
        </is>
      </c>
      <c r="E2" s="3" t="inlineStr">
        <is>
          <t>logrado</t>
        </is>
      </c>
      <c r="F2" s="3" t="inlineStr">
        <is>
          <t>Orientación estratégica de la CTeI; Bioeconomía; Transición energética; Ciencia para la paz; Derecho humano a la alimentación; Soberanía sanitaria y bienestar social</t>
        </is>
      </c>
      <c r="G2" s="3" t="inlineStr">
        <is>
          <t>Ministerio de Ciencia, Tecnología e Innovación (MinCiencias)</t>
        </is>
      </c>
      <c r="H2" s="3" t="inlineStr">
        <is>
          <t>Instrumento de creación exclusiva de este gobierno (estratificación): no reemplaza ni convierte un instrumento previo de Duque, sino que institucionaliza por primera vez un enfoque de política CTeI orientada por misiones con respaldo normativo formal.</t>
        </is>
      </c>
      <c r="I2" s="3" t="inlineStr">
        <is>
          <t>No existe: bajo Duque no había una agenda científica orientada por misiones; la financiación de CTeI se caracterizaba, según el propio informe 2022-2026, por dispersión de proyectos y concentración en 5 ciudades.</t>
        </is>
      </c>
      <c r="J2" s="3" t="inlineStr">
        <is>
          <t>El Ministerio adoptó formalmente las cinco PIIOM (Bioeconomía y Territorio, Derecho Humano a la Alimentación, Transición Energética, Soberanía Sanitaria y Bienestar Social, Ciencia para la Paz) mediante la Resolución 1452 de 2024, con fundamento en el artículo 226 de la Ley 2294 de 2023 (PND), como hoja de ruta de 10 años (2024-2033).</t>
        </is>
      </c>
      <c r="K2" s="3" t="inlineStr">
        <is>
          <t>2022–2026: p. 17, 56, 57</t>
        </is>
      </c>
      <c r="L2" s="3" t="inlineStr">
        <is>
          <t>resolucion-1452-de-2024-adopcion-piiom</t>
        </is>
      </c>
    </row>
    <row r="3">
      <c r="A3" s="3" t="inlineStr">
        <is>
          <t>Metodología nacional de seis etapas de las PIIOM</t>
        </is>
      </c>
      <c r="B3" s="3" t="inlineStr">
        <is>
          <t>nodalidad</t>
        </is>
      </c>
      <c r="C3" s="3" t="inlineStr">
        <is>
          <t>estratificación</t>
        </is>
      </c>
      <c r="D3" s="3" t="inlineStr">
        <is>
          <t>—</t>
        </is>
      </c>
      <c r="E3" s="3" t="inlineStr">
        <is>
          <t>logrado</t>
        </is>
      </c>
      <c r="F3" s="3" t="inlineStr">
        <is>
          <t>Orientación estratégica de la CTeI</t>
        </is>
      </c>
      <c r="G3" s="3" t="inlineStr">
        <is>
          <t>Ministerio de Ciencia, Tecnología e Innovación (MinCiencias); academia; sector productivo; organizaciones sociales y comunidades territoriales</t>
        </is>
      </c>
      <c r="H3" s="3" t="inlineStr">
        <is>
          <t>Instrumento nuevo (nodalidad/metodología de co-creación) sin antecedente directo; es la base procedimental que sustenta la legitimidad y el contenido técnico de las PIIOM.</t>
        </is>
      </c>
      <c r="I3" s="3" t="inlineStr">
        <is>
          <t>No existe.</t>
        </is>
      </c>
      <c r="J3" s="3" t="inlineStr">
        <is>
          <t>Se diseñó y aplicó una metodología propia de seis etapas (priorización, líneas base con evidencia, concertación territorial, co-creación de metas, rutas de implementación y gobernanza) con participación de aproximadamente 100 actores de academia, Estado, sector productivo y comunidades, para construir de forma participativa las cinco PIIOM.</t>
        </is>
      </c>
      <c r="K3" s="3" t="inlineStr">
        <is>
          <t>2022–2026: p. 17</t>
        </is>
      </c>
      <c r="L3" s="3" t="inlineStr">
        <is>
          <t>metodologia-nacional-de-seis-etapas-de-las-piiom</t>
        </is>
      </c>
    </row>
    <row r="4">
      <c r="A4" s="3" t="inlineStr">
        <is>
          <t>Convocatorias y mecanismos propios de cada Misión PIIOM (oferta institucional por misión)</t>
        </is>
      </c>
      <c r="B4" s="3" t="inlineStr">
        <is>
          <t>tesoro</t>
        </is>
      </c>
      <c r="C4" s="3" t="inlineStr">
        <is>
          <t>estratificación</t>
        </is>
      </c>
      <c r="D4" s="3" t="inlineStr">
        <is>
          <t>—</t>
        </is>
      </c>
      <c r="E4" s="3" t="inlineStr">
        <is>
          <t>logrado</t>
        </is>
      </c>
      <c r="F4" s="3" t="inlineStr">
        <is>
          <t>Orientación estratégica de la CTeI; Bioeconomía; Transición energética; Ciencia para la paz; Derecho humano a la alimentación; Soberanía sanitaria y bienestar social; Talento humano y capacidades regionales</t>
        </is>
      </c>
      <c r="G4" s="3" t="inlineStr">
        <is>
          <t>Ministerio de Ciencia, Tecnología e Innovación (MinCiencias); MinSalud (Fondo de Investigación en Salud - FIS); SENA (SENAINNOVA); entidades aliadas del sector CTeI</t>
        </is>
      </c>
      <c r="H4" s="3" t="inlineStr">
        <is>
          <t>Estratificación: se crea una capa nueva de convocatorias explícitamente etiquetadas y articuladas bajo la lógica de misión, en paralelo/reemplazo parcial de las convocatorias temáticas dispersas previas.</t>
        </is>
      </c>
      <c r="I4" s="3" t="inlineStr">
        <is>
          <t>No existe un equivalente: bajo Duque la financiación de proyectos CTeI se hacía por convocatorias generales dispersas sin marco de misiones articulador (según el diagnóstico del propio informe 2022-2026).</t>
        </is>
      </c>
      <c r="J4" s="3" t="inlineStr">
        <is>
          <t>Cada una de las cinco misiones cuenta con un portafolio propio de convocatorias/mecanismos (entre 5 y 11 por misión) financiados con PGN, aportes de entidades aliadas y, en algunos casos, recursos del SGR vía convocatorias OCAD, sumando montos que van desde ~$15.600 millones (DHA) hasta ~$377.600 millones (SGR Transición Energética).</t>
        </is>
      </c>
      <c r="K4" s="3" t="inlineStr">
        <is>
          <t>2022–2026: p. 21, 22, 23, 24, 25, 27, 28, 29, 30</t>
        </is>
      </c>
      <c r="L4" s="3" t="inlineStr">
        <is>
          <t>convocatorias-y-mecanismos-propios-de-cada-mision-piiom-oferta-institucional-por-mision</t>
        </is>
      </c>
    </row>
    <row r="5">
      <c r="A5" s="3" t="inlineStr">
        <is>
          <t>Fondo Francisco José de Caldas (FFJC)</t>
        </is>
      </c>
      <c r="B5" s="3" t="inlineStr">
        <is>
          <t>tesoro</t>
        </is>
      </c>
      <c r="C5" s="3" t="inlineStr">
        <is>
          <t>conversión</t>
        </is>
      </c>
      <c r="D5" s="3" t="inlineStr">
        <is>
          <t>logrado</t>
        </is>
      </c>
      <c r="E5" s="3" t="inlineStr">
        <is>
          <t>logrado</t>
        </is>
      </c>
      <c r="F5" s="3" t="inlineStr">
        <is>
          <t>Orientación estratégica de la CTeI; Talento humano y capacidades regionales; Bioeconomía; Internacionalización y diplomacia científica; Transición energética; Ciencia para la paz; Derecho humano a la alimentación; Soberanía sanitaria y bienestar social; Beneficios tributarios para CTeI</t>
        </is>
      </c>
      <c r="G5" s="3" t="inlineStr">
        <is>
          <t>Ministerio de Ciencia, Tecnología e Innovación (MinCiencias); Ministerio de Ciencia, Tecnología e Innovación; Fiducoldex; MinCiencias - Dirección de Gestión de Recursos; Fiducoldex (Contrato de Fiducia Mercantil No. 333 de 2023); Ministerio de Ciencia, Tecnología e Innovación (Minciencias); Consejo Nacional de Beneficios Tributarios en CTeI (CNBT); Fondo Francisco José de Caldas; Ministerio de Educación Nacional</t>
        </is>
      </c>
      <c r="H5" s="3" t="inlineStr">
        <is>
          <t>Conversión: el instrumento (fondo/fuente de tesoro) es el mismo, pero su lógica de asignación cambia de financiación dispersa por proyectos a financiación estructurada por misiones estratégicas.</t>
        </is>
      </c>
      <c r="I5" s="3" t="inlineStr">
        <is>
          <t>El Fondo Francisco José de Caldas operaba como principal vehículo de financiación de proyectos de ciencia y tecnología, con lógica de convocatorias temáticas y geográficas dispersas (concentradas en 5 ciudades, según el diagnóstico del informe 2022-2026).</t>
        </is>
      </c>
      <c r="J5" s="3" t="inlineStr">
        <is>
          <t>El mismo Fondo se redespliega como principal fuente de recursos propios (PGN) para financiar las convocatorias de cada una de las cinco misiones PIIOM, cambiando su lógica de asignación de dispersa a orientada por misión.</t>
        </is>
      </c>
      <c r="K5" s="3" t="inlineStr">
        <is>
          <t>2022–2026: p. 22, 24, 26, 28, 30, 100, 101; 2018–2022: p. 34, 35</t>
        </is>
      </c>
      <c r="L5" s="3" t="inlineStr">
        <is>
          <t>fondo-francisco-jose-de-caldas-ffjc</t>
        </is>
      </c>
    </row>
    <row r="6">
      <c r="A6" s="3" t="inlineStr">
        <is>
          <t>Sistema General de Regalías (SGR) - Asignación para la CTeI / OCAD CTeI</t>
        </is>
      </c>
      <c r="B6" s="3" t="inlineStr">
        <is>
          <t>tesoro</t>
        </is>
      </c>
      <c r="C6" s="3" t="inlineStr">
        <is>
          <t>conversión</t>
        </is>
      </c>
      <c r="D6" s="3" t="inlineStr">
        <is>
          <t>logrado</t>
        </is>
      </c>
      <c r="E6" s="3" t="inlineStr">
        <is>
          <t>logrado</t>
        </is>
      </c>
      <c r="F6" s="3" t="inlineStr">
        <is>
          <t>Orientación estratégica de la CTeI; Talento humano y capacidades regionales; Innovación empresarial y sofisticación productiva; Bioeconomía; Transición energética; Ciencia para la paz; Derecho humano a la alimentación; Soberanía sanitaria y bienestar social; Inteligencia artificial</t>
        </is>
      </c>
      <c r="G6" s="3" t="inlineStr">
        <is>
          <t>Departamento Nacional de Planeación (DNP); OCAD; Ministerio de Ciencia, Tecnología e Innovación (MinCiencias); Minciencias (Secretaría Técnica del OCAD CTeI); OCAD CTeI; DNP; Ministerio de Ciencia, Tecnología e Innovación; Comisión Rectora del SGR; MinCiencias; Departamentos; SGR; Sistema General de Regalías (SGR); Sistema Nacional de Ciencia, Tecnología e Innovación (SNCTI)</t>
        </is>
      </c>
      <c r="H6" s="3" t="inlineStr">
        <is>
          <t>Conversión: el mismo mecanismo de regalías se redespliega bajo la lógica de misión, etiquetando convocatorias OCAD según los retos PIIOM en lugar de criterios genéricos de competitividad regional.</t>
        </is>
      </c>
      <c r="I6" s="3" t="inlineStr">
        <is>
          <t>El SGR (Asignación CTeI) financiaba proyectos regionales de ciencia y tecnología aprobados por los OCAD bajo criterios generales de competitividad regional, sin articulación con un enfoque de misiones.</t>
        </is>
      </c>
      <c r="J6" s="3" t="inlineStr">
        <is>
          <t>Se movilizan convocatorias OCAD específicas (38, 47, 49) explícitamente alineadas y tituladas según los retos de las misiones PIIOM (energía sostenible, seguridad alimentaria, soberanía sanitaria), sumando cientos de miles de millones de pesos adicionales a los recursos PGN.</t>
        </is>
      </c>
      <c r="K6" s="3" t="inlineStr">
        <is>
          <t>2022–2026: p. 25, 28, 30, 34, 100, 102, 103, 104, 105, 143, 145; 2018–2022: p. 20, 21, 31, 32, 33, 34</t>
        </is>
      </c>
      <c r="L6" s="3" t="inlineStr">
        <is>
          <t>sistema-general-de-regalias-sgr-asignacion-para-la-ctei-ocad-ctei</t>
        </is>
      </c>
    </row>
    <row r="7">
      <c r="A7" s="3" t="inlineStr">
        <is>
          <t>Programa Orquídeas: Mujeres en la Ciencia (con sus convocatorias 935/948/963)</t>
        </is>
      </c>
      <c r="B7" s="3" t="inlineStr">
        <is>
          <t>tesoro</t>
        </is>
      </c>
      <c r="C7" s="3" t="inlineStr">
        <is>
          <t>estratificación</t>
        </is>
      </c>
      <c r="D7" s="3" t="inlineStr">
        <is>
          <t>—</t>
        </is>
      </c>
      <c r="E7" s="3" t="inlineStr">
        <is>
          <t>logrado</t>
        </is>
      </c>
      <c r="F7" s="3" t="inlineStr">
        <is>
          <t>Orientación estratégica de la CTeI; Talento humano y capacidades regionales; Ciencia para la paz; Transición energética; Derecho humano a la alimentación; Soberanía sanitaria y bienestar social; Bioeconomía; Inteligencia artificial</t>
        </is>
      </c>
      <c r="G7" s="3" t="inlineStr">
        <is>
          <t>Ministerio de Ciencia, Tecnología e Innovación (MinCiencias); Oficina Asesora de Planeación e Innovación Institucional (OAPII); MinCiencias; OAPII</t>
        </is>
      </c>
      <c r="H7" s="3" t="inlineStr">
        <is>
          <t>Instrumento nuevo (de este gobierno) que se reporta aquí solo en su rol de mecanismo articulador/afluente a las PIIOM; el programa en sí mismo es objeto de una política propia listada aparte.</t>
        </is>
      </c>
      <c r="I7" s="3" t="inlineStr">
        <is>
          <t>No existe.</t>
        </is>
      </c>
      <c r="J7" s="3" t="inlineStr">
        <is>
          <t>El Programa Orquídeas se articula explícitamente con las PIIOM, dirigiendo sus convocatorias de estancias postdoctorales de mujeres científicas hacia los campos estratégicos de las cinco misiones (transición energética, DHA, soberanía sanitaria, ciencia para la paz, bioeconomía, IA).</t>
        </is>
      </c>
      <c r="K7" s="3" t="inlineStr">
        <is>
          <t>2022–2026: p. 20, 25, 26, 31, 32, 37, 59, 109, 110</t>
        </is>
      </c>
      <c r="L7" s="3" t="inlineStr">
        <is>
          <t>programa-orquideas-mujeres-en-la-ciencia-con-sus-convocatorias-935-948-963</t>
        </is>
      </c>
    </row>
    <row r="8">
      <c r="A8" s="3" t="inlineStr">
        <is>
          <t>Articulación MinCiencias - Ministerio de Educación para formación de talento (PIIOM)</t>
        </is>
      </c>
      <c r="B8" s="3" t="inlineStr">
        <is>
          <t>organización</t>
        </is>
      </c>
      <c r="C8" s="3" t="inlineStr">
        <is>
          <t>estratificación</t>
        </is>
      </c>
      <c r="D8" s="3" t="inlineStr">
        <is>
          <t>—</t>
        </is>
      </c>
      <c r="E8" s="3" t="inlineStr">
        <is>
          <t>logrado</t>
        </is>
      </c>
      <c r="F8" s="3" t="inlineStr">
        <is>
          <t>Orientación estratégica de la CTeI; Talento humano y capacidades regionales; Apropiación social del conocimiento</t>
        </is>
      </c>
      <c r="G8" s="3" t="inlineStr">
        <is>
          <t>Ministerio de Ciencia, Tecnología e Innovación (MinCiencias); Ministerio de Educación Nacional</t>
        </is>
      </c>
      <c r="H8" s="3" t="inlineStr">
        <is>
          <t>Instrumento nuevo (capacidad organizacional de coordinación interministerial) creado como mecanismo de la política PIIOM.</t>
        </is>
      </c>
      <c r="I8" s="3" t="inlineStr">
        <is>
          <t>No existe como articulación explícita dentro de un marco de misiones.</t>
        </is>
      </c>
      <c r="J8" s="3" t="inlineStr">
        <is>
          <t>Se establece una articulación formal entre MinCiencias y el Ministerio de Educación para llevar conocimiento científico a instituciones educativas, fortalecer oferta en IA/ciencias básicas/ingenierías y dotar espacios de aprendizaje, como parte de la lógica de formación de talento de largo plazo de las PIIOM.</t>
        </is>
      </c>
      <c r="K8" s="3" t="inlineStr">
        <is>
          <t>2022–2026: p. 18</t>
        </is>
      </c>
      <c r="L8" s="3" t="inlineStr">
        <is>
          <t>articulacion-minciencias-ministerio-de-educacion-para-formacion-de-talento-piiom</t>
        </is>
      </c>
    </row>
    <row r="9">
      <c r="A9" s="3" t="inlineStr">
        <is>
          <t>Invitaciones CABBIO (formación en biotecnología)</t>
        </is>
      </c>
      <c r="B9" s="3" t="inlineStr">
        <is>
          <t>tesoro</t>
        </is>
      </c>
      <c r="C9" s="3" t="inlineStr">
        <is>
          <t>estratificación</t>
        </is>
      </c>
      <c r="D9" s="3" t="inlineStr">
        <is>
          <t>—</t>
        </is>
      </c>
      <c r="E9" s="3" t="inlineStr">
        <is>
          <t>logrado</t>
        </is>
      </c>
      <c r="F9" s="3" t="inlineStr">
        <is>
          <t>Bioeconomía</t>
        </is>
      </c>
      <c r="G9" s="3" t="inlineStr">
        <is>
          <t>MinCiencias</t>
        </is>
      </c>
      <c r="H9" s="3" t="inlineStr">
        <is>
          <t>Instrumento nuevo, creado y desplegado enteramente dentro del periodo 2022-2026 como parte de la oferta misional en bioeconomia.</t>
        </is>
      </c>
      <c r="I9" s="3" t="inlineStr">
        <is>
          <t>No existe bajo el gobierno Duque; no se encontraron referencias a CABBIO en el informe de empalme 2018-2022.</t>
        </is>
      </c>
      <c r="J9" s="3" t="inlineStr">
        <is>
          <t>Bajo Petro, Minciencias lanza invitaciones sucesivas (2022, 1050-2023, 1055-2024) con el Centro Argentino Brasileño de Biotecnología (CABBIO) para cursos teorico-practicos de formacion en biotecnologia, como uno de los 11 mecanismos de la Mision Bioeconomia y Territorio.</t>
        </is>
      </c>
      <c r="K9" s="3" t="inlineStr">
        <is>
          <t>2022–2026: p. 22</t>
        </is>
      </c>
      <c r="L9" s="3" t="inlineStr">
        <is>
          <t>invitaciones-cabbio-formacion-en-biotecnologia</t>
        </is>
      </c>
    </row>
    <row r="10">
      <c r="A10" s="3" t="inlineStr">
        <is>
          <t>Invitación 1049-2023 Expediciones científicas Bio, Paz y Territorio</t>
        </is>
      </c>
      <c r="B10" s="3" t="inlineStr">
        <is>
          <t>tesoro</t>
        </is>
      </c>
      <c r="C10" s="3" t="inlineStr">
        <is>
          <t>estratificación</t>
        </is>
      </c>
      <c r="D10" s="3" t="inlineStr">
        <is>
          <t>—</t>
        </is>
      </c>
      <c r="E10" s="3" t="inlineStr">
        <is>
          <t>logrado</t>
        </is>
      </c>
      <c r="F10" s="3" t="inlineStr">
        <is>
          <t>Bioeconomía; Ciencia para la paz</t>
        </is>
      </c>
      <c r="G10" s="3" t="inlineStr">
        <is>
          <t>MinCiencias</t>
        </is>
      </c>
      <c r="H10" s="3" t="inlineStr">
        <is>
          <t>Instrumento nuevo que articula explicitamente la agenda de bioeconomia con la de paz territorial, sirviendo tambien a la Mision Ciencia para la Paz.</t>
        </is>
      </c>
      <c r="I10" s="3" t="inlineStr">
        <is>
          <t>No existe bajo Duque.</t>
        </is>
      </c>
      <c r="J10" s="3" t="inlineStr">
        <is>
          <t>Invitación 2023 que financia expediciones cientificas que combinan biodiversidad, saberes ancestrales y construccion de paz territorial (p. ej. Pacifico-Bio, Guaviare, Choco); financiada con recursos PGN individuales de aprox. $960 millones por proyecto.</t>
        </is>
      </c>
      <c r="K10" s="3" t="inlineStr">
        <is>
          <t>2022–2026: p. 22, 58</t>
        </is>
      </c>
      <c r="L10" s="3" t="inlineStr">
        <is>
          <t>invitacion-1049-2023-expediciones-cientificas-bio-paz-y-territorio</t>
        </is>
      </c>
    </row>
    <row r="11">
      <c r="A11" s="3" t="inlineStr">
        <is>
          <t>Convocatoria 936-2023 Ecosistemas en Bioeconomía</t>
        </is>
      </c>
      <c r="B11" s="3" t="inlineStr">
        <is>
          <t>tesoro</t>
        </is>
      </c>
      <c r="C11" s="3" t="inlineStr">
        <is>
          <t>estratificación</t>
        </is>
      </c>
      <c r="D11" s="3" t="inlineStr">
        <is>
          <t>—</t>
        </is>
      </c>
      <c r="E11" s="3" t="inlineStr">
        <is>
          <t>logrado</t>
        </is>
      </c>
      <c r="F11" s="3" t="inlineStr">
        <is>
          <t>Bioeconomía</t>
        </is>
      </c>
      <c r="G11" s="3" t="inlineStr">
        <is>
          <t>MinCiencias; Agrosavia; Universidad Industrial de Santander; Universidad de la Sabana; Universidad de Cartagena; Universidad Pontificia Bolivariana</t>
        </is>
      </c>
      <c r="H11" s="3" t="inlineStr">
        <is>
          <t>Instrumento nuevo de convocatoria competitiva de gran escala, eje central de la oferta de la mision en 2022-2026.</t>
        </is>
      </c>
      <c r="I11" s="3" t="inlineStr">
        <is>
          <t>No existe bajo Duque.</t>
        </is>
      </c>
      <c r="J11" s="3" t="inlineStr">
        <is>
          <t>Convocatoria de 2023 que financia programas y proyectos de I+D+i en bioproductos, biorrefinerías, biorremediación y sistemas agroforestales, con financiacion de gran escala (varios miles de millones por programa) y cobertura en departamentos como Guaviare, Santander, Cundinamarca, Bolívar, Antioquia.</t>
        </is>
      </c>
      <c r="K11" s="3" t="inlineStr">
        <is>
          <t>2022–2026: p. 22, 59, 60</t>
        </is>
      </c>
      <c r="L11" s="3" t="inlineStr">
        <is>
          <t>convocatoria-936-2023-ecosistemas-en-bioeconomia</t>
        </is>
      </c>
    </row>
    <row r="12">
      <c r="A12" s="3" t="inlineStr">
        <is>
          <t>MAPBIO (Mecanismos de aceleración de proyectos en bioeconomía 3.0/3.1)</t>
        </is>
      </c>
      <c r="B12" s="3" t="inlineStr">
        <is>
          <t>tesoro</t>
        </is>
      </c>
      <c r="C12" s="3" t="inlineStr">
        <is>
          <t>estratificación</t>
        </is>
      </c>
      <c r="D12" s="3" t="inlineStr">
        <is>
          <t>—</t>
        </is>
      </c>
      <c r="E12" s="3" t="inlineStr">
        <is>
          <t>logrado</t>
        </is>
      </c>
      <c r="F12" s="3" t="inlineStr">
        <is>
          <t>Bioeconomía</t>
        </is>
      </c>
      <c r="G12" s="3" t="inlineStr">
        <is>
          <t>MinCiencias</t>
        </is>
      </c>
      <c r="H12" s="3" t="inlineStr">
        <is>
          <t>Instrumento nuevo, de caracter mas cercano a innovacion empresarial/aceleracion que a investigacion basica, dentro de la oferta de la mision.</t>
        </is>
      </c>
      <c r="I12" s="3" t="inlineStr">
        <is>
          <t>No existe bajo Duque.</t>
        </is>
      </c>
      <c r="J12" s="3" t="inlineStr">
        <is>
          <t>Mecanismo de aceleración (versiones 3.0 y 3.1) orientado a acelerar proyectos de bioeconomía hacia mercado, parte de los 11 mecanismos de la mision.</t>
        </is>
      </c>
      <c r="K12" s="3" t="inlineStr">
        <is>
          <t>2022–2026: p. 22</t>
        </is>
      </c>
      <c r="L12" s="3" t="inlineStr">
        <is>
          <t>mapbio-mecanismos-de-aceleracion-de-proyectos-en-bioeconomia-3-0-3-1</t>
        </is>
      </c>
    </row>
    <row r="13">
      <c r="A13" s="3" t="inlineStr">
        <is>
          <t>Convenios especiales de cooperación con el CRIC (bioeconomía)</t>
        </is>
      </c>
      <c r="B13" s="3" t="inlineStr">
        <is>
          <t>organización</t>
        </is>
      </c>
      <c r="C13" s="3" t="inlineStr">
        <is>
          <t>estratificación</t>
        </is>
      </c>
      <c r="D13" s="3" t="inlineStr">
        <is>
          <t>—</t>
        </is>
      </c>
      <c r="E13" s="3" t="inlineStr">
        <is>
          <t>logrado</t>
        </is>
      </c>
      <c r="F13" s="3" t="inlineStr">
        <is>
          <t>Bioeconomía; Derecho humano a la alimentación</t>
        </is>
      </c>
      <c r="G13" s="3" t="inlineStr">
        <is>
          <t>MinCiencias; Consejo Regional Indígena del Cauca (CRIC)</t>
        </is>
      </c>
      <c r="H13" s="3" t="inlineStr">
        <is>
          <t>Instrumento nuevo de relacionamiento interetnico institucionalizado como via para canalizar recursos CTeI a pueblos indigenas, con doble adscripcion a bioeconomia y soberania alimentaria.</t>
        </is>
      </c>
      <c r="I13" s="3" t="inlineStr">
        <is>
          <t>No existe bajo Duque.</t>
        </is>
      </c>
      <c r="J13" s="3" t="inlineStr">
        <is>
          <t>Serie de convenios especiales de cooperación (bajo Decretos Ley 393 y 591 de 1991) con el CRIC para caracterizar y fortalecer sistemas de conocimiento indígena, economía propia y agroecología; el convenio 269-2025 responde tambien al Acuerdo IT3-93 de consulta previa del PND, articulado con la Mision Derecho Humano a la Alimentación.</t>
        </is>
      </c>
      <c r="K13" s="3" t="inlineStr">
        <is>
          <t>2022–2026: p. 22, 58, 59, 60</t>
        </is>
      </c>
      <c r="L13" s="3" t="inlineStr">
        <is>
          <t>convenios-especiales-de-cooperacion-con-el-cric-bioeconomia</t>
        </is>
      </c>
    </row>
    <row r="14">
      <c r="A14" s="3" t="inlineStr">
        <is>
          <t>Convenio 429-2024 Monitoreo de biodiversidad en Resguardo de Yunguillo</t>
        </is>
      </c>
      <c r="B14" s="3" t="inlineStr">
        <is>
          <t>nodalidad</t>
        </is>
      </c>
      <c r="C14" s="3" t="inlineStr">
        <is>
          <t>estratificación</t>
        </is>
      </c>
      <c r="D14" s="3" t="inlineStr">
        <is>
          <t>—</t>
        </is>
      </c>
      <c r="E14" s="3" t="inlineStr">
        <is>
          <t>logrado</t>
        </is>
      </c>
      <c r="F14" s="3" t="inlineStr">
        <is>
          <t>Bioeconomía</t>
        </is>
      </c>
      <c r="G14" s="3" t="inlineStr">
        <is>
          <t>MinCiencias; Resguardo Indígena Inga de Yunguillo (Putumayo)</t>
        </is>
      </c>
      <c r="H14" s="3" t="inlineStr">
        <is>
          <t>Instrumento nuevo de generacion de nodalidad (informacion) en alianza con comunidad indigena especifica.</t>
        </is>
      </c>
      <c r="I14" s="3" t="inlineStr">
        <is>
          <t>No existe bajo Duque.</t>
        </is>
      </c>
      <c r="J14" s="3" t="inlineStr">
        <is>
          <t>Convenio de 2024 orientado a generar información (monitoreo comunitario) sobre biodiversidad en el resguardo indígena Inga de Yunguillo, Putumayo, con enfoque de participación comunitaria en la generación de conocimiento.</t>
        </is>
      </c>
      <c r="K14" s="3" t="inlineStr">
        <is>
          <t>2022–2026: p. 22, 59</t>
        </is>
      </c>
      <c r="L14" s="3" t="inlineStr">
        <is>
          <t>convenio-429-2024-monitoreo-de-biodiversidad-en-resguardo-de-yunguillo</t>
        </is>
      </c>
    </row>
    <row r="15">
      <c r="A15" s="3" t="inlineStr">
        <is>
          <t>Convocatoria 969-2025 Océanos, clima y recursos marino-costeros</t>
        </is>
      </c>
      <c r="B15" s="3" t="inlineStr">
        <is>
          <t>tesoro</t>
        </is>
      </c>
      <c r="C15" s="3" t="inlineStr">
        <is>
          <t>estratificación</t>
        </is>
      </c>
      <c r="D15" s="3" t="inlineStr">
        <is>
          <t>—</t>
        </is>
      </c>
      <c r="E15" s="3" t="inlineStr">
        <is>
          <t>logrado</t>
        </is>
      </c>
      <c r="F15" s="3" t="inlineStr">
        <is>
          <t>Bioeconomía; Transición energética</t>
        </is>
      </c>
      <c r="G15" s="3" t="inlineStr">
        <is>
          <t>MinCiencias</t>
        </is>
      </c>
      <c r="H15" s="3" t="inlineStr">
        <is>
          <t>Instrumento nuevo que ademas conecta bioeconomia marina con la agenda de cambio climatico/transicion energetica.</t>
        </is>
      </c>
      <c r="I15" s="3" t="inlineStr">
        <is>
          <t>No existe bajo Duque.</t>
        </is>
      </c>
      <c r="J15" s="3" t="inlineStr">
        <is>
          <t>Convocatoria de 2025, la más reciente de los 11 mecanismos, orientada a financiar proyectos sobre océanos, clima y aprovechamiento sostenible de recursos marino-costeros.</t>
        </is>
      </c>
      <c r="K15" s="3" t="inlineStr">
        <is>
          <t>2022–2026: p. 22</t>
        </is>
      </c>
      <c r="L15" s="3" t="inlineStr">
        <is>
          <t>convocatoria-969-2025-oceanos-clima-y-recursos-marino-costeros</t>
        </is>
      </c>
    </row>
    <row r="16">
      <c r="A16" s="3" t="inlineStr">
        <is>
          <t>Financiación PGN para la Misión Bioeconomía y Territorio ($46.157 millones)</t>
        </is>
      </c>
      <c r="B16" s="3" t="inlineStr">
        <is>
          <t>tesoro</t>
        </is>
      </c>
      <c r="C16" s="3" t="inlineStr">
        <is>
          <t>estratificación</t>
        </is>
      </c>
      <c r="D16" s="3" t="inlineStr">
        <is>
          <t>—</t>
        </is>
      </c>
      <c r="E16" s="3" t="inlineStr">
        <is>
          <t>logrado</t>
        </is>
      </c>
      <c r="F16" s="3" t="inlineStr">
        <is>
          <t>Bioeconomía</t>
        </is>
      </c>
      <c r="G16" s="3" t="inlineStr">
        <is>
          <t>MinCiencias; Ministerio de Hacienda y Crédito Público</t>
        </is>
      </c>
      <c r="H16" s="3" t="inlineStr">
        <is>
          <t>Nueva bolsa presupuestal agregada creada bajo la arquitectura de Misiones, que reorganiza y estratifica el financiamiento estatal a la bioeconomia respecto al esquema previo (Colombia BIO).</t>
        </is>
      </c>
      <c r="I16" s="3" t="inlineStr">
        <is>
          <t>No existe como bolsa presupuestal misional bajo Duque (la logica previa era el Programa Colombia BIO, sin la arquitectura de Misiones PIIOM ni esta asignacion PGN especifica).</t>
        </is>
      </c>
      <c r="J16" s="3" t="inlineStr">
        <is>
          <t>Bajo Petro se consolida la asignación agregada de $46.157 millones del PGN (2022-2025) que financia los 11 mecanismos de la Misión Bioeconomía y Territorio, en el marco de las PIIOM (Resolución 1452 de 2024).</t>
        </is>
      </c>
      <c r="K16" s="3" t="inlineStr">
        <is>
          <t>2022–2026: p. 22</t>
        </is>
      </c>
      <c r="L16" s="3" t="inlineStr">
        <is>
          <t>financiacion-pgn-para-la-mision-bioeconomia-y-territorio-46-157-millones</t>
        </is>
      </c>
    </row>
    <row r="17">
      <c r="A17" s="3" t="inlineStr">
        <is>
          <t>Convocatoria 931-2022 Fortalecimiento actores industria hidrocarburos</t>
        </is>
      </c>
      <c r="B17" s="3" t="inlineStr">
        <is>
          <t>tesoro</t>
        </is>
      </c>
      <c r="C17" s="3" t="inlineStr">
        <is>
          <t>estratificación</t>
        </is>
      </c>
      <c r="D17" s="3" t="inlineStr">
        <is>
          <t>—</t>
        </is>
      </c>
      <c r="E17" s="3" t="inlineStr">
        <is>
          <t>logrado</t>
        </is>
      </c>
      <c r="F17" s="3" t="inlineStr">
        <is>
          <t>Transición energética; Talento humano y capacidades regionales</t>
        </is>
      </c>
      <c r="G17" s="3" t="inlineStr">
        <is>
          <t>MinCiencias/OAPII</t>
        </is>
      </c>
      <c r="H17" s="3" t="inlineStr">
        <is>
          <t>Es un instrumento nuevo (estratificación) que retoma la línea temática de hidrocarburos ya tocada de forma dispersa en 2018-2022, pero ahora bajo el paraguas formal de la misión.</t>
        </is>
      </c>
      <c r="I17" s="3" t="inlineStr">
        <is>
          <t>No existe como tal; en 2018-2022 el sector hidrocarburos solo aparece en invitaciones puntuales y aisladas (p.ej. recobro mejorado de hidrocarburos Huila, yacimientos no convencionales), sin figurar bajo una Misión de Transición Energética (que aún no existía como categoría de política).</t>
        </is>
      </c>
      <c r="J17" s="3" t="inlineStr">
        <is>
          <t>Convocatoria de primer nivel dentro de la nueva Misión Transición Energética (PIIOM, Resolución 1452/2024) orientada a fortalecer actores de la industria de hidrocarburos.</t>
        </is>
      </c>
      <c r="K17" s="3" t="inlineStr">
        <is>
          <t>2022–2026: p. 24</t>
        </is>
      </c>
      <c r="L17" s="3" t="inlineStr">
        <is>
          <t>convocatoria-931-2022-fortalecimiento-actores-industria-hidrocarburos</t>
        </is>
      </c>
    </row>
    <row r="18">
      <c r="A18" s="3" t="inlineStr">
        <is>
          <t>Convocatoria 938-2023 Ecosistemas en energía sostenible</t>
        </is>
      </c>
      <c r="B18" s="3" t="inlineStr">
        <is>
          <t>tesoro</t>
        </is>
      </c>
      <c r="C18" s="3" t="inlineStr">
        <is>
          <t>estratificación</t>
        </is>
      </c>
      <c r="D18" s="3" t="inlineStr">
        <is>
          <t>—</t>
        </is>
      </c>
      <c r="E18" s="3" t="inlineStr">
        <is>
          <t>logrado</t>
        </is>
      </c>
      <c r="F18" s="3" t="inlineStr">
        <is>
          <t>Transición energética; Talento humano y capacidades regionales</t>
        </is>
      </c>
      <c r="G18" s="3" t="inlineStr">
        <is>
          <t>MinCiencias/OAPII</t>
        </is>
      </c>
      <c r="H18" s="3" t="inlineStr">
        <is>
          <t>Instrumento nuevo (estratificación) que institucionaliza en convocatoria concreta el foco de 'energía sostenible' que en el gobierno anterior era solo una categoría de la MIS sin mecanismo dedicado.</t>
        </is>
      </c>
      <c r="I18" s="3" t="inlineStr">
        <is>
          <t>No existe en 2018-2022; el enfoque de 'energía sostenible' solo figuraba como uno de los ocho focos de la Misión Internacional de Sabios (MIS), sin instrumento de convocatoria propio.</t>
        </is>
      </c>
      <c r="J18" s="3" t="inlineStr">
        <is>
          <t>Convocatoria de ecosistemas científicos en energía sostenible, eficiente y asequible; también nutre becas/estancias (Programa Inserción Laboral) y a Jóvenes Investigadores.</t>
        </is>
      </c>
      <c r="K18" s="3" t="inlineStr">
        <is>
          <t>2022–2026: p. 24, 36, 38</t>
        </is>
      </c>
      <c r="L18" s="3" t="inlineStr">
        <is>
          <t>convocatoria-938-2023-ecosistemas-en-energia-sostenible</t>
        </is>
      </c>
    </row>
    <row r="19">
      <c r="A19" s="3" t="inlineStr">
        <is>
          <t>Red Econova – Ecopetrol</t>
        </is>
      </c>
      <c r="B19" s="3" t="inlineStr">
        <is>
          <t>organización</t>
        </is>
      </c>
      <c r="C19" s="3" t="inlineStr">
        <is>
          <t>estratificación</t>
        </is>
      </c>
      <c r="D19" s="3" t="inlineStr">
        <is>
          <t>—</t>
        </is>
      </c>
      <c r="E19" s="3" t="inlineStr">
        <is>
          <t>logrado</t>
        </is>
      </c>
      <c r="F19" s="3" t="inlineStr">
        <is>
          <t>Transición energética</t>
        </is>
      </c>
      <c r="G19" s="3" t="inlineStr">
        <is>
          <t>MinCiencias/OAPII; Ecopetrol</t>
        </is>
      </c>
      <c r="H19" s="3" t="inlineStr">
        <is>
          <t>Instrumento nuevo (estratificación) que crea una alianza de capacidad organizacional con una empresa estatal del sector energético, algo no reportado en el gobierno anterior.</t>
        </is>
      </c>
      <c r="I19" s="3" t="inlineStr">
        <is>
          <t>No existe; no hay evidencia de alianza formal Minciencias-Ecopetrol de este tipo en el informe 2018-2022.</t>
        </is>
      </c>
      <c r="J19" s="3" t="inlineStr">
        <is>
          <t>Red de cooperación institucional (organización) entre Minciencias y Ecopetrol dentro de la Misión Transición Energética.</t>
        </is>
      </c>
      <c r="K19" s="3" t="inlineStr">
        <is>
          <t>2022–2026: p. 24</t>
        </is>
      </c>
      <c r="L19" s="3" t="inlineStr">
        <is>
          <t>red-econova-ecopetrol</t>
        </is>
      </c>
    </row>
    <row r="20">
      <c r="A20" s="3" t="inlineStr">
        <is>
          <t>Convocatoria 951-2024 Fuentes no convencionales de energía y CO2</t>
        </is>
      </c>
      <c r="B20" s="3" t="inlineStr">
        <is>
          <t>tesoro</t>
        </is>
      </c>
      <c r="C20" s="3" t="inlineStr">
        <is>
          <t>estratificación</t>
        </is>
      </c>
      <c r="D20" s="3" t="inlineStr">
        <is>
          <t>—</t>
        </is>
      </c>
      <c r="E20" s="3" t="inlineStr">
        <is>
          <t>logrado</t>
        </is>
      </c>
      <c r="F20" s="3" t="inlineStr">
        <is>
          <t>Transición energética</t>
        </is>
      </c>
      <c r="G20" s="3" t="inlineStr">
        <is>
          <t>MinCiencias/OAPII</t>
        </is>
      </c>
      <c r="H20" s="3" t="inlineStr">
        <is>
          <t>Instrumento nuevo (estratificación); amplía y formaliza en convocatoria de escala mayor lo que antes era una invitación aislada a un solo proyecto de yacimientos no convencionales.</t>
        </is>
      </c>
      <c r="I20" s="3" t="inlineStr">
        <is>
          <t>No existe; en 2018-2022 solo hay una invitación puntual sobre 'yacimientos no convencionales' (1 proyecto), sin convocatoria de esta escala ni enfoque en CCUS.</t>
        </is>
      </c>
      <c r="J20" s="3" t="inlineStr">
        <is>
          <t>Convocatoria orientada a fuentes no convencionales de energía y tecnologías de captura, almacenamiento y uso de CO2 (CCUS).</t>
        </is>
      </c>
      <c r="K20" s="3" t="inlineStr">
        <is>
          <t>2022–2026: p. 24</t>
        </is>
      </c>
      <c r="L20" s="3" t="inlineStr">
        <is>
          <t>convocatoria-951-2024-fuentes-no-convencionales-de-energia-y-co2</t>
        </is>
      </c>
    </row>
    <row r="21">
      <c r="A21" s="3" t="inlineStr">
        <is>
          <t>Convocatoria 958-2024 Planeación minero-energética</t>
        </is>
      </c>
      <c r="B21" s="3" t="inlineStr">
        <is>
          <t>tesoro</t>
        </is>
      </c>
      <c r="C21" s="3" t="inlineStr">
        <is>
          <t>estratificación</t>
        </is>
      </c>
      <c r="D21" s="3" t="inlineStr">
        <is>
          <t>—</t>
        </is>
      </c>
      <c r="E21" s="3" t="inlineStr">
        <is>
          <t>logrado</t>
        </is>
      </c>
      <c r="F21" s="3" t="inlineStr">
        <is>
          <t>Transición energética</t>
        </is>
      </c>
      <c r="G21" s="3" t="inlineStr">
        <is>
          <t>MinCiencias/OAPII</t>
        </is>
      </c>
      <c r="H21" s="3" t="inlineStr">
        <is>
          <t>Instrumento nuevo (estratificación) sin antecedente directo en el gobierno anterior.</t>
        </is>
      </c>
      <c r="I21" s="3" t="inlineStr">
        <is>
          <t>No existe; no hay evidencia de instrumento de planeación minero-energética territorial en el informe 2018-2022.</t>
        </is>
      </c>
      <c r="J21" s="3" t="inlineStr">
        <is>
          <t>Convocatoria orientada a la planeación minero-energética con enfoque de convergencia territorial y transición energética justa.</t>
        </is>
      </c>
      <c r="K21" s="3" t="inlineStr">
        <is>
          <t>2022–2026: p. 24</t>
        </is>
      </c>
      <c r="L21" s="3" t="inlineStr">
        <is>
          <t>convocatoria-958-2024-planeacion-minero-energetica</t>
        </is>
      </c>
    </row>
    <row r="22">
      <c r="A22" s="3" t="inlineStr">
        <is>
          <t>Convocatoria 967-2025 Jóvenes Investigadores en energía</t>
        </is>
      </c>
      <c r="B22" s="3" t="inlineStr">
        <is>
          <t>tesoro</t>
        </is>
      </c>
      <c r="C22" s="3" t="inlineStr">
        <is>
          <t>estratificación</t>
        </is>
      </c>
      <c r="D22" s="3" t="inlineStr">
        <is>
          <t>—</t>
        </is>
      </c>
      <c r="E22" s="3" t="inlineStr">
        <is>
          <t>logrado</t>
        </is>
      </c>
      <c r="F22" s="3" t="inlineStr">
        <is>
          <t>Transición energética; Talento humano y capacidades regionales</t>
        </is>
      </c>
      <c r="G22" s="3" t="inlineStr">
        <is>
          <t>MinCiencias/OAPII</t>
        </is>
      </c>
      <c r="H22" s="3" t="inlineStr">
        <is>
          <t>Instrumento nuevo (estratificación) que combina el programa histórico de Jóvenes Investigadores con el foco temático nuevo de transición energética.</t>
        </is>
      </c>
      <c r="I22" s="3" t="inlineStr">
        <is>
          <t>No existe con este enfoque; el Programa Jóvenes Investigadores existía en 2018-2022 de forma general, pero sin línea específica de energía/gas/CO2.</t>
        </is>
      </c>
      <c r="J22" s="3" t="inlineStr">
        <is>
          <t>Convocatoria de Jóvenes Investigadores especializada en fuentes de energía, prospectiva de gas y almacenamiento geológico de CO2; también cuenta para el programa transversal de Jóvenes Investigadores.</t>
        </is>
      </c>
      <c r="K22" s="3" t="inlineStr">
        <is>
          <t>2022–2026: p. 24, 38, 39</t>
        </is>
      </c>
      <c r="L22" s="3" t="inlineStr">
        <is>
          <t>convocatoria-967-2025-jovenes-investigadores-en-energia</t>
        </is>
      </c>
    </row>
    <row r="23">
      <c r="A23" s="3" t="inlineStr">
        <is>
          <t>Convocatoria 971-2025 Comunidades energéticas</t>
        </is>
      </c>
      <c r="B23" s="3" t="inlineStr">
        <is>
          <t>tesoro</t>
        </is>
      </c>
      <c r="C23" s="3" t="inlineStr">
        <is>
          <t>estratificación</t>
        </is>
      </c>
      <c r="D23" s="3" t="inlineStr">
        <is>
          <t>—</t>
        </is>
      </c>
      <c r="E23" s="3" t="inlineStr">
        <is>
          <t>logrado</t>
        </is>
      </c>
      <c r="F23" s="3" t="inlineStr">
        <is>
          <t>Transición energética; Apropiación social del conocimiento</t>
        </is>
      </c>
      <c r="G23" s="3" t="inlineStr">
        <is>
          <t>MinCiencias/OAPII</t>
        </is>
      </c>
      <c r="H23" s="3" t="inlineStr">
        <is>
          <t>Instrumento nuevo (estratificación); conecta la Misión de Transición Energética con la agenda transversal de apropiación social del conocimiento.</t>
        </is>
      </c>
      <c r="I23" s="3" t="inlineStr">
        <is>
          <t>No existe; el concepto de 'comunidades energéticas' con enfoque de apropiación social no aparece en el informe 2018-2022.</t>
        </is>
      </c>
      <c r="J23" s="3" t="inlineStr">
        <is>
          <t>Convocatoria de proyectos de CTeI con enfoque en apropiación social del conocimiento para comunidades energéticas, con banco de elegibles publicado en abril de 2026.</t>
        </is>
      </c>
      <c r="K23" s="3" t="inlineStr">
        <is>
          <t>2022–2026: p. 24</t>
        </is>
      </c>
      <c r="L23" s="3" t="inlineStr">
        <is>
          <t>convocatoria-971-2025-comunidades-energeticas</t>
        </is>
      </c>
    </row>
    <row r="24">
      <c r="A24" s="3" t="inlineStr">
        <is>
          <t>Convocatoria 972-2025 Recobro mejorado de hidrocarburos</t>
        </is>
      </c>
      <c r="B24" s="3" t="inlineStr">
        <is>
          <t>tesoro</t>
        </is>
      </c>
      <c r="C24" s="3" t="inlineStr">
        <is>
          <t>conversión</t>
        </is>
      </c>
      <c r="D24" s="3" t="inlineStr">
        <is>
          <t>propuesto</t>
        </is>
      </c>
      <c r="E24" s="3" t="inlineStr">
        <is>
          <t>logrado</t>
        </is>
      </c>
      <c r="F24" s="3" t="inlineStr">
        <is>
          <t>Transición energética</t>
        </is>
      </c>
      <c r="G24" s="3" t="inlineStr">
        <is>
          <t>MinCiencias/OAPII</t>
        </is>
      </c>
      <c r="H24" s="3" t="inlineStr">
        <is>
          <t>Conversión: la misma línea temática (recobro mejorado de hidrocarburos) se redespliega de una invitación regional aislada de bajísima escala a una convocatoria nacional dentro de una misión formal, con mayor escala y nuevos fines (fortalecimiento de capacidades en IES).</t>
        </is>
      </c>
      <c r="I24" s="3" t="inlineStr">
        <is>
          <t>Existía como una invitación puntual y localizada ('Invitación recobro mejorado de hidrocarburos Huila') con un solo proyecto financiado, sin ser una convocatoria nacional ni parte de una misión formal.</t>
        </is>
      </c>
      <c r="J24" s="3" t="inlineStr">
        <is>
          <t>Se redespliega como convocatoria nacional (972-2025) de I+D+i en recobro mejorado de hidrocarburos, ampliando el alcance a fortalecimiento de capacidades en instituciones de educación superior y ya no limitada a un departamento.</t>
        </is>
      </c>
      <c r="K24" s="3" t="inlineStr">
        <is>
          <t>2018–2022: p. 18; 2022–2026: p. 24</t>
        </is>
      </c>
      <c r="L24" s="3" t="inlineStr">
        <is>
          <t>convocatoria-972-2025-recobro-mejorado-de-hidrocarburos</t>
        </is>
      </c>
    </row>
    <row r="25">
      <c r="A25" s="3" t="inlineStr">
        <is>
          <t>Convocatoria 49 OCAD SGR – Energía sostenible para el territorio</t>
        </is>
      </c>
      <c r="B25" s="3" t="inlineStr">
        <is>
          <t>tesoro</t>
        </is>
      </c>
      <c r="C25" s="3" t="inlineStr">
        <is>
          <t>estratificación</t>
        </is>
      </c>
      <c r="D25" s="3" t="inlineStr">
        <is>
          <t>—</t>
        </is>
      </c>
      <c r="E25" s="3" t="inlineStr">
        <is>
          <t>logrado</t>
        </is>
      </c>
      <c r="F25" s="3" t="inlineStr">
        <is>
          <t>Transición energética; Orientación estratégica de la CTeI; Ciencia para la paz; Derecho humano a la alimentación; Soberanía sanitaria y bienestar social</t>
        </is>
      </c>
      <c r="G25" s="3" t="inlineStr">
        <is>
          <t>Secretaría Técnica del OCAD de CTeI - MinCiencias; Sistema General de Regalías (SGR)</t>
        </is>
      </c>
      <c r="H25" s="3" t="inlineStr">
        <is>
          <t>Estratificación de un mecanismo nuevo y de mucho mayor escala dentro del SGR, aunque el vehículo institucional (OCAD-SGR) y el foco temático de 'energía sostenible' ya tenían antecedente parcial en 2018-2022 bajo la lógica de los focos de la Misión de Sabios.</t>
        </is>
      </c>
      <c r="I25" s="3" t="inlineStr">
        <is>
          <t>El OCAD de CTeI del SGR ya operaba en 2018-2022 gestionando convocatorias públicas por línea temática (incluyendo 'Energía sostenible' como uno de los 8 focos de la Misión de Sabios, con $11.000 millones y 4 proyectos en 2021), pero sin una convocatoria específica homóloga a la 49 dedicada a energía sostenible territorial dentro de una misión formal.</t>
        </is>
      </c>
      <c r="J25" s="3" t="inlineStr">
        <is>
          <t>Convocatoria 49 del OCAD-SGR específicamente dedicada a 'energía sostenible para el territorio', con $377.639 millones, muy superior en escala a los $11.000 millones destinados a energía sostenible en 2021, y ahora articulada formalmente con la Misión Transición Energética (PIIOM).</t>
        </is>
      </c>
      <c r="K25" s="3" t="inlineStr">
        <is>
          <t>2022–2026: p. 25</t>
        </is>
      </c>
      <c r="L25" s="3" t="inlineStr">
        <is>
          <t>convocatoria-49-ocad-sgr-energia-sostenible-para-el-territorio</t>
        </is>
      </c>
    </row>
    <row r="26">
      <c r="A26" s="3" t="inlineStr">
        <is>
          <t>Concurso Nacional Otto de Greiff (Mejores Trabajos de Grado)</t>
        </is>
      </c>
      <c r="B26" s="3" t="inlineStr">
        <is>
          <t>tesoro</t>
        </is>
      </c>
      <c r="C26" s="3" t="inlineStr">
        <is>
          <t>estratificación</t>
        </is>
      </c>
      <c r="D26" s="3" t="inlineStr">
        <is>
          <t>—</t>
        </is>
      </c>
      <c r="E26" s="3" t="inlineStr">
        <is>
          <t>logrado</t>
        </is>
      </c>
      <c r="F26" s="3" t="inlineStr">
        <is>
          <t>Ciencia para la paz; Talento humano y capacidades regionales</t>
        </is>
      </c>
      <c r="G26" s="3" t="inlineStr">
        <is>
          <t>MinCiencias; OAPII</t>
        </is>
      </c>
      <c r="H26" s="3" t="inlineStr">
        <is>
          <t>Instrumento nuevo, no existe antecedente en el gobierno 2018-2022.</t>
        </is>
      </c>
      <c r="I26" s="3" t="inlineStr"/>
      <c r="J26" s="3" t="inlineStr">
        <is>
          <t>Concurso lanzado en 2022 dentro de la naciente Mision Ciencia para la Paz (PIIOM formalizada en 2024 via Resolucion 1452), premia mejores trabajos de grado de pregrado vinculandolos como Jovenes Investigadores e Innovadores.</t>
        </is>
      </c>
      <c r="K26" s="3" t="inlineStr">
        <is>
          <t>2022–2026: p. 26, 33</t>
        </is>
      </c>
      <c r="L26" s="3" t="inlineStr">
        <is>
          <t>concurso-nacional-otto-de-greiff-mejores-trabajos-de-grado</t>
        </is>
      </c>
    </row>
    <row r="27">
      <c r="A27" s="3" t="inlineStr">
        <is>
          <t>Jóvenes en Ciencia para la Paz (2023 y 2025)</t>
        </is>
      </c>
      <c r="B27" s="3" t="inlineStr">
        <is>
          <t>tesoro</t>
        </is>
      </c>
      <c r="C27" s="3" t="inlineStr">
        <is>
          <t>estratificación</t>
        </is>
      </c>
      <c r="D27" s="3" t="inlineStr">
        <is>
          <t>—</t>
        </is>
      </c>
      <c r="E27" s="3" t="inlineStr">
        <is>
          <t>logrado</t>
        </is>
      </c>
      <c r="F27" s="3" t="inlineStr">
        <is>
          <t>Ciencia para la paz</t>
        </is>
      </c>
      <c r="G27" s="3" t="inlineStr">
        <is>
          <t>MinCiencias; OAPII; Camara de Comercio de Choco (ejecutor convenio 157-2023)</t>
        </is>
      </c>
      <c r="H27" s="3" t="inlineStr">
        <is>
          <t>Instrumento nuevo creado bajo Petro, sin antecedente 2018-2022.</t>
        </is>
      </c>
      <c r="I27" s="3" t="inlineStr"/>
      <c r="J27" s="3" t="inlineStr">
        <is>
          <t>Programa insignia de la mision, en versiones 2023 y 2025, vincula jovenes en territorios historicamente afectados por el conflicto (ej. Choco) mediante convenios con camaras de comercio locales; el propio informe lo recomienda como buena practica a consolidar hacia el proximo gobierno.</t>
        </is>
      </c>
      <c r="K27" s="3" t="inlineStr">
        <is>
          <t>2022–2026: p. 26, 59</t>
        </is>
      </c>
      <c r="L27" s="3" t="inlineStr">
        <is>
          <t>jovenes-en-ciencia-para-la-paz-2023-y-2025</t>
        </is>
      </c>
    </row>
    <row r="28">
      <c r="A28" s="3" t="inlineStr">
        <is>
          <t>Ecosistema Intercultural del Pacífico Nariñense</t>
        </is>
      </c>
      <c r="B28" s="3" t="inlineStr">
        <is>
          <t>tesoro</t>
        </is>
      </c>
      <c r="C28" s="3" t="inlineStr">
        <is>
          <t>estratificación</t>
        </is>
      </c>
      <c r="D28" s="3" t="inlineStr">
        <is>
          <t>—</t>
        </is>
      </c>
      <c r="E28" s="3" t="inlineStr">
        <is>
          <t>logrado</t>
        </is>
      </c>
      <c r="F28" s="3" t="inlineStr">
        <is>
          <t>Ciencia para la paz; Bioeconomía; Derecho humano a la alimentación</t>
        </is>
      </c>
      <c r="G28" s="3" t="inlineStr">
        <is>
          <t>MinCiencias; Pontificia Universidad Javeriana (ejecutora contrato 446-2023)</t>
        </is>
      </c>
      <c r="H28" s="3" t="inlineStr">
        <is>
          <t>Instrumento nuevo, sin antecedente en 2018-2022.</t>
        </is>
      </c>
      <c r="I28" s="3" t="inlineStr"/>
      <c r="J28" s="3" t="inlineStr">
        <is>
          <t>Programa territorial en el Pacifico narinense orientado a soberania alimentaria y saberes ancestrales, biodiversidad y bioeconomia, etnoeducacion y gobernanza territorial y paz; ejecutado por la Universidad Javeriana con enfoque en poblacion indigena y afro del Pacifico.</t>
        </is>
      </c>
      <c r="K28" s="3" t="inlineStr">
        <is>
          <t>2022–2026: p. 26, 59</t>
        </is>
      </c>
      <c r="L28" s="3" t="inlineStr">
        <is>
          <t>ecosistema-intercultural-del-pacifico-narinense</t>
        </is>
      </c>
    </row>
    <row r="29">
      <c r="A29" s="3" t="inlineStr">
        <is>
          <t>Convocatoria 956-2024 Ecosistemas de Ciencia y Paz</t>
        </is>
      </c>
      <c r="B29" s="3" t="inlineStr">
        <is>
          <t>tesoro</t>
        </is>
      </c>
      <c r="C29" s="3" t="inlineStr">
        <is>
          <t>estratificación</t>
        </is>
      </c>
      <c r="D29" s="3" t="inlineStr">
        <is>
          <t>—</t>
        </is>
      </c>
      <c r="E29" s="3" t="inlineStr">
        <is>
          <t>pendiente</t>
        </is>
      </c>
      <c r="F29" s="3" t="inlineStr">
        <is>
          <t>Ciencia para la paz; Bioeconomía; Derecho humano a la alimentación</t>
        </is>
      </c>
      <c r="G29" s="3" t="inlineStr">
        <is>
          <t>MinCiencias; Corporacion Universidad de la Costa; Universidad de los Andes; Universidad de San Buenaventura; Universidad Nacional de Colombia; Colegio Mayor de Nuestra Señora del Rosario</t>
        </is>
      </c>
      <c r="H29" s="3" t="inlineStr">
        <is>
          <t>Instrumento nuevo, sin antecedente 2018-2022; su ejecucion efectiva queda pendiente para el siguiente gobierno.</t>
        </is>
      </c>
      <c r="I29" s="3" t="inlineStr"/>
      <c r="J29" s="3" t="inlineStr">
        <is>
          <t>Convocatoria de 2024 orientada a bioeconomia, derecho humano a la alimentacion, ciencia para la paz, sistemas agricolas/pesqueros y cadena de cannabis/coca en territorios de transformacion; a la fecha de corte del informe (abril 2026) los proyectos seguian en estado precontractual, es decir formalmente aprobados pero pendientes de contratacion/ejecucion.</t>
        </is>
      </c>
      <c r="K29" s="3" t="inlineStr">
        <is>
          <t>2022–2026: p. 26, 59</t>
        </is>
      </c>
      <c r="L29" s="3" t="inlineStr">
        <is>
          <t>convocatoria-956-2024-ecosistemas-de-ciencia-y-paz</t>
        </is>
      </c>
    </row>
    <row r="30">
      <c r="A30" s="3" t="inlineStr">
        <is>
          <t>Convocatorias SENAinnova (943-2023 y 962-2024)</t>
        </is>
      </c>
      <c r="B30" s="3" t="inlineStr">
        <is>
          <t>tesoro</t>
        </is>
      </c>
      <c r="C30" s="3" t="inlineStr">
        <is>
          <t>estratificación</t>
        </is>
      </c>
      <c r="D30" s="3" t="inlineStr">
        <is>
          <t>—</t>
        </is>
      </c>
      <c r="E30" s="3" t="inlineStr">
        <is>
          <t>logrado</t>
        </is>
      </c>
      <c r="F30" s="3" t="inlineStr">
        <is>
          <t>Derecho humano a la alimentación</t>
        </is>
      </c>
      <c r="G30" s="3" t="inlineStr">
        <is>
          <t>Minciencias; SENA</t>
        </is>
      </c>
      <c r="H30" s="3" t="inlineStr">
        <is>
          <t>Instrumento nuevo del periodo 2022-2026, sin antecedente directo en 2018-2022.</t>
        </is>
      </c>
      <c r="I30" s="3" t="inlineStr"/>
      <c r="J30" s="3" t="inlineStr">
        <is>
          <t>Convocatorias conjuntas Minciencias-SENA orientadas a innovación agroalimentaria sostenible y adopción de tecnologías avanzadas hacia sistemas soberanos, parte del listado de mecanismos de la Misión DHA.</t>
        </is>
      </c>
      <c r="K30" s="3" t="inlineStr">
        <is>
          <t>2022–2026: p. 28, 39</t>
        </is>
      </c>
      <c r="L30" s="3" t="inlineStr">
        <is>
          <t>convocatorias-senainnova-943-2023-y-962-2024</t>
        </is>
      </c>
    </row>
    <row r="31">
      <c r="A31" s="3" t="inlineStr">
        <is>
          <t>Invitación 1045-2023 Cadena láctea (Cauca, Nariño, Putumayo)</t>
        </is>
      </c>
      <c r="B31" s="3" t="inlineStr">
        <is>
          <t>tesoro</t>
        </is>
      </c>
      <c r="C31" s="3" t="inlineStr">
        <is>
          <t>estratificación</t>
        </is>
      </c>
      <c r="D31" s="3" t="inlineStr">
        <is>
          <t>—</t>
        </is>
      </c>
      <c r="E31" s="3" t="inlineStr">
        <is>
          <t>logrado</t>
        </is>
      </c>
      <c r="F31" s="3" t="inlineStr">
        <is>
          <t>Derecho humano a la alimentación</t>
        </is>
      </c>
      <c r="G31" s="3" t="inlineStr">
        <is>
          <t>Minciencias</t>
        </is>
      </c>
      <c r="H31" s="3" t="inlineStr">
        <is>
          <t>Instrumento nuevo, propio del periodo 2022-2026.</t>
        </is>
      </c>
      <c r="I31" s="3" t="inlineStr"/>
      <c r="J31" s="3" t="inlineStr">
        <is>
          <t>Invitación dirigida a fortalecer capacidades de transferencia y uso de conocimiento para agregar valor a la cadena láctea en tres departamentos priorizados.</t>
        </is>
      </c>
      <c r="K31" s="3" t="inlineStr">
        <is>
          <t>2022–2026: p. 28</t>
        </is>
      </c>
      <c r="L31" s="3" t="inlineStr">
        <is>
          <t>invitacion-1045-2023-cadena-lactea-cauca-narino-putumayo</t>
        </is>
      </c>
    </row>
    <row r="32">
      <c r="A32" s="3" t="inlineStr">
        <is>
          <t>Invitación 1051-2023 Apropiación social comunidades negras/afro/raizales/palenqueras</t>
        </is>
      </c>
      <c r="B32" s="3" t="inlineStr">
        <is>
          <t>tesoro</t>
        </is>
      </c>
      <c r="C32" s="3" t="inlineStr">
        <is>
          <t>estratificación</t>
        </is>
      </c>
      <c r="D32" s="3" t="inlineStr">
        <is>
          <t>—</t>
        </is>
      </c>
      <c r="E32" s="3" t="inlineStr">
        <is>
          <t>logrado</t>
        </is>
      </c>
      <c r="F32" s="3" t="inlineStr">
        <is>
          <t>Derecho humano a la alimentación; Apropiación social del conocimiento</t>
        </is>
      </c>
      <c r="G32" s="3" t="inlineStr">
        <is>
          <t>Minciencias</t>
        </is>
      </c>
      <c r="H32" s="3" t="inlineStr">
        <is>
          <t>Instrumento nuevo del periodo 2022-2026 con enfoque étnico-diferencial explícito.</t>
        </is>
      </c>
      <c r="I32" s="3" t="inlineStr"/>
      <c r="J32" s="3" t="inlineStr">
        <is>
          <t>Invitación de apropiación social del conocimiento enfocada en comunidades negras, afrocolombianas, raizales y palenqueras para atender problemas de productividad y asegurar soberanía alimentaria.</t>
        </is>
      </c>
      <c r="K32" s="3" t="inlineStr">
        <is>
          <t>2022–2026: p. 28</t>
        </is>
      </c>
      <c r="L32" s="3" t="inlineStr">
        <is>
          <t>invitacion-1051-2023-apropiacion-social-comunidades-negras-afro-raizales-palenqueras</t>
        </is>
      </c>
    </row>
    <row r="33">
      <c r="A33" s="3" t="inlineStr">
        <is>
          <t>Convenio Especial de Cooperación SINCHI 179-2023</t>
        </is>
      </c>
      <c r="B33" s="3" t="inlineStr">
        <is>
          <t>organización</t>
        </is>
      </c>
      <c r="C33" s="3" t="inlineStr">
        <is>
          <t>estratificación</t>
        </is>
      </c>
      <c r="D33" s="3" t="inlineStr">
        <is>
          <t>—</t>
        </is>
      </c>
      <c r="E33" s="3" t="inlineStr">
        <is>
          <t>logrado</t>
        </is>
      </c>
      <c r="F33" s="3" t="inlineStr">
        <is>
          <t>Derecho humano a la alimentación; Bioeconomía</t>
        </is>
      </c>
      <c r="G33" s="3" t="inlineStr">
        <is>
          <t>Minciencias; Instituto Amazónico de Investigaciones Científicas (SINCHI)</t>
        </is>
      </c>
      <c r="H33" s="3" t="inlineStr">
        <is>
          <t>Instrumento nuevo, propio del periodo 2022-2026.</t>
        </is>
      </c>
      <c r="I33" s="3" t="inlineStr"/>
      <c r="J33" s="3" t="inlineStr">
        <is>
          <t>Convenio de cooperación con el Instituto SINCHI dentro del listado de mecanismos de la Misión DHA.</t>
        </is>
      </c>
      <c r="K33" s="3" t="inlineStr">
        <is>
          <t>2022–2026: p. 28</t>
        </is>
      </c>
      <c r="L33" s="3" t="inlineStr">
        <is>
          <t>convenio-especial-de-cooperacion-sinchi-179-2023</t>
        </is>
      </c>
    </row>
    <row r="34">
      <c r="A34" s="3" t="inlineStr">
        <is>
          <t>Convenio Especial de Cooperación con el CRIC 269-2025 (DHA)</t>
        </is>
      </c>
      <c r="B34" s="3" t="inlineStr">
        <is>
          <t>organización</t>
        </is>
      </c>
      <c r="C34" s="3" t="inlineStr">
        <is>
          <t>estratificación</t>
        </is>
      </c>
      <c r="D34" s="3" t="inlineStr">
        <is>
          <t>—</t>
        </is>
      </c>
      <c r="E34" s="3" t="inlineStr">
        <is>
          <t>logrado</t>
        </is>
      </c>
      <c r="F34" s="3" t="inlineStr">
        <is>
          <t>Derecho humano a la alimentación</t>
        </is>
      </c>
      <c r="G34" s="3" t="inlineStr">
        <is>
          <t>Minciencias; Consejo Regional Indígena del Cauca (CRIC); Mesa Permanente de Concertación (MPC)</t>
        </is>
      </c>
      <c r="H34" s="3" t="inlineStr">
        <is>
          <t>Instrumento nuevo que materializa un acuerdo de consulta previa étnica dentro de la Misión DHA; sin antecedente en 2018-2022.</t>
        </is>
      </c>
      <c r="I34" s="3" t="inlineStr"/>
      <c r="J34" s="3" t="inlineStr">
        <is>
          <t>Convenio derivado del Acuerdo IT3-93 con la Mesa Permanente de Concertación (Consulta Previa del PND 2022-2026), delegado al CRIC para caracterizar, fortalecer y documentar prácticas agroecológicas y ancestrales, gobernanza alimentaria y multifuncionalidad de la ACFEC en territorios indígenas priorizados.</t>
        </is>
      </c>
      <c r="K34" s="3" t="inlineStr">
        <is>
          <t>2022–2026: p. 28, 57, 58</t>
        </is>
      </c>
      <c r="L34" s="3" t="inlineStr">
        <is>
          <t>convenio-especial-de-cooperacion-con-el-cric-269-2025-dha</t>
        </is>
      </c>
    </row>
    <row r="35">
      <c r="A35" s="3" t="inlineStr">
        <is>
          <t>Acuerdo Mesa Permanente de Concertación (MPC) - IT3-93</t>
        </is>
      </c>
      <c r="B35" s="3" t="inlineStr">
        <is>
          <t>autoridad</t>
        </is>
      </c>
      <c r="C35" s="3" t="inlineStr">
        <is>
          <t>estratificación</t>
        </is>
      </c>
      <c r="D35" s="3" t="inlineStr">
        <is>
          <t>—</t>
        </is>
      </c>
      <c r="E35" s="3" t="inlineStr">
        <is>
          <t>logrado</t>
        </is>
      </c>
      <c r="F35" s="3" t="inlineStr">
        <is>
          <t>Derecho humano a la alimentación</t>
        </is>
      </c>
      <c r="G35" s="3" t="inlineStr">
        <is>
          <t>Minciencias; Mesa Permanente de Concertación (MPC); pueblos indígenas</t>
        </is>
      </c>
      <c r="H35" s="3" t="inlineStr">
        <is>
          <t>Instrumento normativo nuevo (obligación derivada de consulta previa del PND 2022-2026), sin antecedente en el gobierno anterior.</t>
        </is>
      </c>
      <c r="I35" s="3" t="inlineStr"/>
      <c r="J35" s="3" t="inlineStr">
        <is>
          <t>Acuerdo de consulta previa que compromete a Minciencias a adecuar de manera concertada sus programas con enfoque diferencial étnico, con énfasis en sistemas alimentarios; se ejecuta operativamente a través del convenio con el CRIC.</t>
        </is>
      </c>
      <c r="K35" s="3" t="inlineStr">
        <is>
          <t>2022–2026: p. 57, 58</t>
        </is>
      </c>
      <c r="L35" s="3" t="inlineStr">
        <is>
          <t>acuerdo-mesa-permanente-de-concertacion-mpc-it3-93</t>
        </is>
      </c>
    </row>
    <row r="36">
      <c r="A36" s="3" t="inlineStr">
        <is>
          <t>Convocatoria 47 OCAD SGR 'Agro por la vida y por la tierra' (DHA)</t>
        </is>
      </c>
      <c r="B36" s="3" t="inlineStr">
        <is>
          <t>tesoro</t>
        </is>
      </c>
      <c r="C36" s="3" t="inlineStr">
        <is>
          <t>estratificación</t>
        </is>
      </c>
      <c r="D36" s="3" t="inlineStr">
        <is>
          <t>—</t>
        </is>
      </c>
      <c r="E36" s="3" t="inlineStr">
        <is>
          <t>pendiente</t>
        </is>
      </c>
      <c r="F36" s="3" t="inlineStr">
        <is>
          <t>Derecho humano a la alimentación; Orientación estratégica de la CTeI</t>
        </is>
      </c>
      <c r="G36" s="3" t="inlineStr">
        <is>
          <t>Minciencias (Secretaría Técnica del OCAD CTeI); Sistema General de Regalías (SGR); OCAD CTeI</t>
        </is>
      </c>
      <c r="H36" s="3" t="inlineStr">
        <is>
          <t>Instrumento nuevo y de mayor escala financiera dentro de la Misión DHA; en estado pendiente de resultados al cierre del informe.</t>
        </is>
      </c>
      <c r="I36" s="3" t="inlineStr"/>
      <c r="J36" s="3" t="inlineStr">
        <is>
          <t>Convocatoria del SGR gestionada vía OCAD CTeI, con resultados aún por publicarse (22 de julio de 2026), que aporta el grueso del financiamiento de la misión ($446.514 millones), muy por encima de los recursos propios de Minciencias.</t>
        </is>
      </c>
      <c r="K36" s="3" t="inlineStr">
        <is>
          <t>2022–2026: p. 28</t>
        </is>
      </c>
      <c r="L36" s="3" t="inlineStr">
        <is>
          <t>convocatoria-47-ocad-sgr-agro-por-la-vida-y-por-la-tierra-dha</t>
        </is>
      </c>
    </row>
    <row r="37">
      <c r="A37" s="3" t="inlineStr">
        <is>
          <t>Misión Soberanía Sanitaria y Bienestar Social (marco misional PIIOM)</t>
        </is>
      </c>
      <c r="B37" s="3" t="inlineStr">
        <is>
          <t>nodalidad</t>
        </is>
      </c>
      <c r="C37" s="3" t="inlineStr">
        <is>
          <t>estratificación</t>
        </is>
      </c>
      <c r="D37" s="3" t="inlineStr">
        <is>
          <t>—</t>
        </is>
      </c>
      <c r="E37" s="3" t="inlineStr">
        <is>
          <t>logrado</t>
        </is>
      </c>
      <c r="F37" s="3" t="inlineStr">
        <is>
          <t>Soberanía sanitaria y bienestar social; Orientación estratégica de la CTeI</t>
        </is>
      </c>
      <c r="G37" s="3" t="inlineStr">
        <is>
          <t>Ministerio de Ciencia, Tecnología e Innovación (MinCiencias); Oficina Asesora de Planeación e Innovación Institucional (OAPII)</t>
        </is>
      </c>
      <c r="H37" s="3" t="inlineStr">
        <is>
          <t>Estratificación: se añade una nueva capa de política orientada por misiones sobre la base de instrumentos preexistentes de investigación en salud, dándoles un marco estratégico, metas e institucionalidad nuevos que no existían en 2018-2022.</t>
        </is>
      </c>
      <c r="I37" s="3" t="inlineStr">
        <is>
          <t>No existía como categoría de política; el Estado abordaba investigación en salud vía proyectos sueltos de generación de conocimiento (SGR, Colciencias) sin marco de 'misión'.</t>
        </is>
      </c>
      <c r="J37" s="3" t="inlineStr">
        <is>
          <t>Se crea formalmente mediante la Resolución 1452 de 2024 como una de las cinco Políticas de Investigación e Innovación Orientadas por Misiones (PIIOM), con reto, ejes y oferta institucional propia (9 convocatorias, $207.113 millones, 84 proyectos).</t>
        </is>
      </c>
      <c r="K37" s="3" t="inlineStr">
        <is>
          <t>2022–2026: p. 29, 57</t>
        </is>
      </c>
      <c r="L37" s="3" t="inlineStr">
        <is>
          <t>mision-soberania-sanitaria-y-bienestar-social-marco-misional-piiom</t>
        </is>
      </c>
    </row>
    <row r="38">
      <c r="A38" s="3" t="inlineStr">
        <is>
          <t>Fondo de Investigación en Salud (FIS)</t>
        </is>
      </c>
      <c r="B38" s="3" t="inlineStr">
        <is>
          <t>tesoro</t>
        </is>
      </c>
      <c r="C38" s="3" t="inlineStr">
        <is>
          <t>estratificación</t>
        </is>
      </c>
      <c r="D38" s="3" t="inlineStr">
        <is>
          <t>—</t>
        </is>
      </c>
      <c r="E38" s="3" t="inlineStr">
        <is>
          <t>logrado</t>
        </is>
      </c>
      <c r="F38" s="3" t="inlineStr">
        <is>
          <t>Soberanía sanitaria y bienestar social</t>
        </is>
      </c>
      <c r="G38" s="3" t="inlineStr">
        <is>
          <t>Ministerio de Ciencia, Tecnología e Innovación (MinCiencias); Ministerio de Salud y Protección Social (MinSalud)</t>
        </is>
      </c>
      <c r="H38" s="3" t="inlineStr">
        <is>
          <t>Estratificación: nuevo fondo/mecanismo dedicado que se suma a los instrumentos financieros existentes (Fondo Francisco José de Caldas, SGR) para dar sostenibilidad específica a la investigación en salud.</t>
        </is>
      </c>
      <c r="I38" s="3" t="inlineStr">
        <is>
          <t>No aparece mencionado en el informe de empalme 2018-2022 como mecanismo con este nombre e identidad propia dentro de MinCiencias/Colciencias.</t>
        </is>
      </c>
      <c r="J38" s="3" t="inlineStr">
        <is>
          <t>El FIS se consolida como el mecanismo financiero central (patrimonio autónomo articulado con MinSalud) para financiar investigación aplicada en salud dentro de la misión de Soberanía Sanitaria, con presupuesto propio y metas de continuidad recomendadas para 2027-2029.</t>
        </is>
      </c>
      <c r="K38" s="3" t="inlineStr">
        <is>
          <t>2022–2026: p. 30, 101, 102</t>
        </is>
      </c>
      <c r="L38" s="3" t="inlineStr">
        <is>
          <t>fondo-de-investigacion-en-salud-fis</t>
        </is>
      </c>
    </row>
    <row r="39">
      <c r="A39" s="3" t="inlineStr">
        <is>
          <t>Convocatoria 918-2022 Capacidades regionales en salud pública</t>
        </is>
      </c>
      <c r="B39" s="3" t="inlineStr">
        <is>
          <t>tesoro</t>
        </is>
      </c>
      <c r="C39" s="3" t="inlineStr">
        <is>
          <t>estratificación</t>
        </is>
      </c>
      <c r="D39" s="3" t="inlineStr">
        <is>
          <t>—</t>
        </is>
      </c>
      <c r="E39" s="3" t="inlineStr">
        <is>
          <t>logrado</t>
        </is>
      </c>
      <c r="F39" s="3" t="inlineStr">
        <is>
          <t>Soberanía sanitaria y bienestar social</t>
        </is>
      </c>
      <c r="G39" s="3" t="inlineStr">
        <is>
          <t>Ministerio de Ciencia, Tecnología e Innovación (MinCiencias)</t>
        </is>
      </c>
      <c r="H39" s="3" t="inlineStr">
        <is>
          <t>Conversión: la lógica de fortalecer capacidades regionales de investigación en salud se mantiene, pero se redespliega bajo el nuevo marco de misión (PIIOM) con convocatoria formal y objetivos ligados al reto de soberanía sanitaria.</t>
        </is>
      </c>
      <c r="I39" s="3" t="inlineStr">
        <is>
          <t>Precedente: en 2018-2022 existía la línea 'Fortalecimiento de capacidades regionales de investigación en salud' con 18 proyectos financiados (2021), sin numeración de convocatoria 918 ni marco de misión.</t>
        </is>
      </c>
      <c r="J39" s="3" t="inlineStr">
        <is>
          <t>Se formaliza como convocatoria 918-2022 específica, integrada como uno de los nueve mecanismos de la misión Soberanía Sanitaria y Bienestar Social.</t>
        </is>
      </c>
      <c r="K39" s="3" t="inlineStr">
        <is>
          <t>2022–2026: p. 29</t>
        </is>
      </c>
      <c r="L39" s="3" t="inlineStr">
        <is>
          <t>convocatoria-918-2022-capacidades-regionales-en-salud-publica</t>
        </is>
      </c>
    </row>
    <row r="40">
      <c r="A40" s="3" t="inlineStr">
        <is>
          <t>Convocatoria 920-2022 Ecosistemas científicos para atención integral</t>
        </is>
      </c>
      <c r="B40" s="3" t="inlineStr">
        <is>
          <t>tesoro</t>
        </is>
      </c>
      <c r="C40" s="3" t="inlineStr">
        <is>
          <t>estratificación</t>
        </is>
      </c>
      <c r="D40" s="3" t="inlineStr">
        <is>
          <t>—</t>
        </is>
      </c>
      <c r="E40" s="3" t="inlineStr">
        <is>
          <t>logrado</t>
        </is>
      </c>
      <c r="F40" s="3" t="inlineStr">
        <is>
          <t>Soberanía sanitaria y bienestar social</t>
        </is>
      </c>
      <c r="G40" s="3" t="inlineStr">
        <is>
          <t>Ministerio de Ciencia, Tecnología e Innovación (MinCiencias)</t>
        </is>
      </c>
      <c r="H40" s="3" t="inlineStr">
        <is>
          <t>Estratificación: instrumento nuevo del periodo 2022-2026 sin antecedente directo.</t>
        </is>
      </c>
      <c r="I40" s="3" t="inlineStr">
        <is>
          <t>No existe precedente identificado con este alcance específico en el informe 2018-2022.</t>
        </is>
      </c>
      <c r="J40" s="3" t="inlineStr">
        <is>
          <t>Convocatoria nueva enfocada en ecosistemas científicos de atención integral (prevención, detección temprana, tratamiento y rehabilitación), incluyendo proyectos de cáncer y telepatología con IA.</t>
        </is>
      </c>
      <c r="K40" s="3" t="inlineStr">
        <is>
          <t>2022–2026: p. 29</t>
        </is>
      </c>
      <c r="L40" s="3" t="inlineStr">
        <is>
          <t>convocatoria-920-2022-ecosistemas-cientificos-para-atencion-integral</t>
        </is>
      </c>
    </row>
    <row r="41">
      <c r="A41" s="3" t="inlineStr">
        <is>
          <t>Convocatoria 927-2022 Ciencias de la vida y de la salud</t>
        </is>
      </c>
      <c r="B41" s="3" t="inlineStr">
        <is>
          <t>tesoro</t>
        </is>
      </c>
      <c r="C41" s="3" t="inlineStr">
        <is>
          <t>estratificación</t>
        </is>
      </c>
      <c r="D41" s="3" t="inlineStr">
        <is>
          <t>—</t>
        </is>
      </c>
      <c r="E41" s="3" t="inlineStr">
        <is>
          <t>logrado</t>
        </is>
      </c>
      <c r="F41" s="3" t="inlineStr">
        <is>
          <t>Soberanía sanitaria y bienestar social; Innovación empresarial y sofisticación productiva</t>
        </is>
      </c>
      <c r="G41" s="3" t="inlineStr">
        <is>
          <t>Ministerio de Ciencia, Tecnología e Innovación (MinCiencias)</t>
        </is>
      </c>
      <c r="H41" s="3" t="inlineStr">
        <is>
          <t>Conversión: el foco de ciencias de la vida y la salud, antes ligado a la Misión de Sabios, se redespliega bajo la nueva arquitectura de misiones (productiva + sanitaria).</t>
        </is>
      </c>
      <c r="I41" s="3" t="inlineStr">
        <is>
          <t>Precedente parcial: en 2018-2022 el área 'Ciencias de la vida y la salud' ya era foco financiado con SGR ($57.000 millones, 17 proyectos) dentro de los ocho focos de la Misión Internacional de Sabios.</t>
        </is>
      </c>
      <c r="J41" s="3" t="inlineStr">
        <is>
          <t>Se convierte en convocatoria formal (927-2022) ligada ahora a la nueva misión productiva y a la de soberanía sanitaria simultáneamente.</t>
        </is>
      </c>
      <c r="K41" s="3" t="inlineStr">
        <is>
          <t>2022–2026: p. 29</t>
        </is>
      </c>
      <c r="L41" s="3" t="inlineStr">
        <is>
          <t>convocatoria-927-2022-ciencias-de-la-vida-y-de-la-salud</t>
        </is>
      </c>
    </row>
    <row r="42">
      <c r="A42" s="3" t="inlineStr">
        <is>
          <t>Convocatoria 930-2022 Reactivos e insumos en salud pública</t>
        </is>
      </c>
      <c r="B42" s="3" t="inlineStr">
        <is>
          <t>tesoro</t>
        </is>
      </c>
      <c r="C42" s="3" t="inlineStr">
        <is>
          <t>estratificación</t>
        </is>
      </c>
      <c r="D42" s="3" t="inlineStr">
        <is>
          <t>—</t>
        </is>
      </c>
      <c r="E42" s="3" t="inlineStr">
        <is>
          <t>logrado</t>
        </is>
      </c>
      <c r="F42" s="3" t="inlineStr">
        <is>
          <t>Soberanía sanitaria y bienestar social</t>
        </is>
      </c>
      <c r="G42" s="3" t="inlineStr">
        <is>
          <t>Ministerio de Ciencia, Tecnología e Innovación (MinCiencias)</t>
        </is>
      </c>
      <c r="H42" s="3" t="inlineStr">
        <is>
          <t>Conversión: el instrumento de emergencia pandémica (producción COVID-19) se redespliega como instrumento permanente de soberanía sanitaria y producción nacional de insumos de salud.</t>
        </is>
      </c>
      <c r="I42" s="3" t="inlineStr">
        <is>
          <t>Precedente directo: 'Generación de capacidades para la producción en Colombia para tratamiento de COVID-19 y otras enfermedades' con 4 proyectos financiados (2021).</t>
        </is>
      </c>
      <c r="J42" s="3" t="inlineStr">
        <is>
          <t>Se amplía y reformula como convocatoria 930-2022, ya no limitada a COVID-19 sino a producción nacional de reactivos, insumos y metodologías para salud pública en general.</t>
        </is>
      </c>
      <c r="K42" s="3" t="inlineStr">
        <is>
          <t>2022–2026: p. 29</t>
        </is>
      </c>
      <c r="L42" s="3" t="inlineStr">
        <is>
          <t>convocatoria-930-2022-reactivos-e-insumos-en-salud-publica</t>
        </is>
      </c>
    </row>
    <row r="43">
      <c r="A43" s="3" t="inlineStr">
        <is>
          <t>Convocatoria 919-2022 Ecosistemas científicos para salud mental</t>
        </is>
      </c>
      <c r="B43" s="3" t="inlineStr">
        <is>
          <t>tesoro</t>
        </is>
      </c>
      <c r="C43" s="3" t="inlineStr">
        <is>
          <t>estratificación</t>
        </is>
      </c>
      <c r="D43" s="3" t="inlineStr">
        <is>
          <t>—</t>
        </is>
      </c>
      <c r="E43" s="3" t="inlineStr">
        <is>
          <t>logrado</t>
        </is>
      </c>
      <c r="F43" s="3" t="inlineStr">
        <is>
          <t>Soberanía sanitaria y bienestar social</t>
        </is>
      </c>
      <c r="G43" s="3" t="inlineStr">
        <is>
          <t>Ministerio de Ciencia, Tecnología e Innovación (MinCiencias)</t>
        </is>
      </c>
      <c r="H43" s="3" t="inlineStr">
        <is>
          <t>Estratificación: instrumento nuevo sin antecedente, propio de la lógica de misiones del periodo 2022-2026.</t>
        </is>
      </c>
      <c r="I43" s="3" t="inlineStr">
        <is>
          <t>No se identifica precedente directo en el informe 2018-2022 sobre salud mental como convocatoria específica.</t>
        </is>
      </c>
      <c r="J43" s="3" t="inlineStr">
        <is>
          <t>Convocatoria nueva, explícitamente 'orientada por misiones', dedicada a salud mental y convivencia social.</t>
        </is>
      </c>
      <c r="K43" s="3" t="inlineStr">
        <is>
          <t>2022–2026: p. 29</t>
        </is>
      </c>
      <c r="L43" s="3" t="inlineStr">
        <is>
          <t>convocatoria-919-2022-ecosistemas-cientificos-para-salud-mental</t>
        </is>
      </c>
    </row>
    <row r="44">
      <c r="A44" s="3" t="inlineStr">
        <is>
          <t>Convocatoria 949-2024 Territorios garantes de la salud</t>
        </is>
      </c>
      <c r="B44" s="3" t="inlineStr">
        <is>
          <t>tesoro</t>
        </is>
      </c>
      <c r="C44" s="3" t="inlineStr">
        <is>
          <t>estratificación</t>
        </is>
      </c>
      <c r="D44" s="3" t="inlineStr">
        <is>
          <t>—</t>
        </is>
      </c>
      <c r="E44" s="3" t="inlineStr">
        <is>
          <t>logrado</t>
        </is>
      </c>
      <c r="F44" s="3" t="inlineStr">
        <is>
          <t>Soberanía sanitaria y bienestar social</t>
        </is>
      </c>
      <c r="G44" s="3" t="inlineStr">
        <is>
          <t>Ministerio de Ciencia, Tecnología e Innovación (MinCiencias)</t>
        </is>
      </c>
      <c r="H44" s="3" t="inlineStr">
        <is>
          <t>Estratificación: instrumento nuevo del periodo, sin antecedente en 2018-2022.</t>
        </is>
      </c>
      <c r="I44" s="3" t="inlineStr">
        <is>
          <t>No existe precedente identificado.</t>
        </is>
      </c>
      <c r="J44" s="3" t="inlineStr">
        <is>
          <t>Convocatoria territorial nueva, con enfoque explícito en el marco de la misión de soberanía sanitaria.</t>
        </is>
      </c>
      <c r="K44" s="3" t="inlineStr">
        <is>
          <t>2022–2026: p. 30</t>
        </is>
      </c>
      <c r="L44" s="3" t="inlineStr">
        <is>
          <t>convocatoria-949-2024-territorios-garantes-de-la-salud</t>
        </is>
      </c>
    </row>
    <row r="45">
      <c r="A45" s="3" t="inlineStr">
        <is>
          <t>Convocatoria/OCAD SGR 38 - Seguridad sanitaria y bienestar</t>
        </is>
      </c>
      <c r="B45" s="3" t="inlineStr">
        <is>
          <t>tesoro</t>
        </is>
      </c>
      <c r="C45" s="3" t="inlineStr">
        <is>
          <t>estratificación</t>
        </is>
      </c>
      <c r="D45" s="3" t="inlineStr">
        <is>
          <t>—</t>
        </is>
      </c>
      <c r="E45" s="3" t="inlineStr">
        <is>
          <t>propuesto</t>
        </is>
      </c>
      <c r="F45" s="3" t="inlineStr">
        <is>
          <t>Soberanía sanitaria y bienestar social; Orientación estratégica de la CTeI</t>
        </is>
      </c>
      <c r="G45" s="3" t="inlineStr">
        <is>
          <t>Ministerio de Ciencia, Tecnología e Innovación (MinCiencias); OCAD Ciencia, Tecnología e Innovación (SGR); Departamento Nacional de Planeación (DNP)</t>
        </is>
      </c>
      <c r="H45" s="3" t="inlineStr">
        <is>
          <t>Estratificación: se crea un canal SGR dedicado y nombrado bajo la lógica de misión, todavía en fase propuesta/decisión al cierre del gobierno.</t>
        </is>
      </c>
      <c r="I45" s="3" t="inlineStr">
        <is>
          <t>No existe; el SGR-Asignación CTeI en 2018-2022 financiaba proyectos de salud de forma dispersa (BPIN 2017011000194), sin convocatoria específica de misión.</t>
        </is>
      </c>
      <c r="J45" s="3" t="inlineStr">
        <is>
          <t>Se estructura una convocatoria SGR específica (38) para la misión de soberanía sanitaria, aún en proceso de decisión OCAD al cierre del informe.</t>
        </is>
      </c>
      <c r="K45" s="3" t="inlineStr">
        <is>
          <t>2022–2026: p. 30</t>
        </is>
      </c>
      <c r="L45" s="3" t="inlineStr">
        <is>
          <t>convocatoria-ocad-sgr-38-seguridad-sanitaria-y-bienestar</t>
        </is>
      </c>
    </row>
    <row r="46">
      <c r="A46" s="3" t="inlineStr">
        <is>
          <t>Proyecto SGR BPIN 2017011000194 (impacto investigación científica en salud)</t>
        </is>
      </c>
      <c r="B46" s="3" t="inlineStr">
        <is>
          <t>tesoro</t>
        </is>
      </c>
      <c r="C46" s="3" t="inlineStr">
        <is>
          <t>terminación</t>
        </is>
      </c>
      <c r="D46" s="3" t="inlineStr">
        <is>
          <t>logrado</t>
        </is>
      </c>
      <c r="E46" s="3" t="inlineStr">
        <is>
          <t>—</t>
        </is>
      </c>
      <c r="F46" s="3" t="inlineStr">
        <is>
          <t>Soberanía sanitaria y bienestar social</t>
        </is>
      </c>
      <c r="G46" s="3" t="inlineStr">
        <is>
          <t>Colciencias / Dirección de Generación de Conocimiento; Sistema General de Regalías (SGR)</t>
        </is>
      </c>
      <c r="H46" s="3" t="inlineStr">
        <is>
          <t>Terminación: el proyecto SGR único de investigación en salud del periodo Duque no continúa como tal; es reemplazado por un portafolio de convocatorias específicas bajo la nueva misión.</t>
        </is>
      </c>
      <c r="I46" s="3" t="inlineStr">
        <is>
          <t>Proyecto nacional financiado con recursos del SGR-Asignación CTeI, administrado por Colciencias/MinCiencias (Dirección de Generación de Conocimiento), como principal vehículo de investigación en salud del cuatrienio, reportado en múltiples vigencias fiscales (2019-2022).</t>
        </is>
      </c>
      <c r="J46" s="3" t="inlineStr">
        <is>
          <t>No se identifica continuidad de este proyecto puntual en el informe 2022-2026; su lógica es reemplazada por las nueve convocatorias específicas de la misión de Soberanía Sanitaria.</t>
        </is>
      </c>
      <c r="K46" s="3" t="inlineStr"/>
      <c r="L46" s="3" t="inlineStr">
        <is>
          <t>proyecto-sgr-bpin-2017011000194-impacto-investigacion-cientifica-en-salud</t>
        </is>
      </c>
    </row>
    <row r="47">
      <c r="A47" s="3" t="inlineStr">
        <is>
          <t>Estrategia Jóvenes Salud</t>
        </is>
      </c>
      <c r="B47" s="3" t="inlineStr">
        <is>
          <t>tesoro</t>
        </is>
      </c>
      <c r="C47" s="3" t="inlineStr">
        <is>
          <t>continuidad estable</t>
        </is>
      </c>
      <c r="D47" s="3" t="inlineStr">
        <is>
          <t>logrado</t>
        </is>
      </c>
      <c r="E47" s="3" t="inlineStr">
        <is>
          <t>logrado</t>
        </is>
      </c>
      <c r="F47" s="3" t="inlineStr">
        <is>
          <t>Soberanía sanitaria y bienestar social; Talento humano y capacidades regionales; Transición energética; Derecho humano a la alimentación</t>
        </is>
      </c>
      <c r="G47" s="3" t="inlineStr">
        <is>
          <t>Colciencias; Minciencias/Colciencias</t>
        </is>
      </c>
      <c r="H47" s="3" t="inlineStr">
        <is>
          <t>Terminación: la estrategia puntual desaparece como instrumento identificable; su función es asumida de forma más genérica por el eje de formación de talento de la nueva misión, sin continuidad de marca o mecanismo propio.</t>
        </is>
      </c>
      <c r="I47" s="3" t="inlineStr">
        <is>
          <t>Estrategia de vocaciones científicas específica para el área de salud, parte del programa de Jóvenes Investigadores e Innovadores de Colciencias.</t>
        </is>
      </c>
      <c r="J47" s="3" t="inlineStr">
        <is>
          <t>No se identifica continuidad nombrada como tal en el informe 2022-2026 de la misión de Soberanía Sanitaria; la formación de talento en salud pasa a integrarse de forma difusa en el eje de 'formar y recuperar talento humano especializado' de la misión.</t>
        </is>
      </c>
      <c r="K47" s="3" t="inlineStr">
        <is>
          <t>2018–2022: p. 21; 2022–2026: p. 38, 39</t>
        </is>
      </c>
      <c r="L47" s="3" t="inlineStr">
        <is>
          <t>estrategia-jovenes-salud</t>
        </is>
      </c>
    </row>
    <row r="48">
      <c r="A48" s="3" t="inlineStr">
        <is>
          <t>Ley 2162 de 2021 (creación del Ministerio de Ciencia, Tecnología e Innovación)</t>
        </is>
      </c>
      <c r="B48" s="3" t="inlineStr">
        <is>
          <t>autoridad</t>
        </is>
      </c>
      <c r="C48" s="3" t="inlineStr">
        <is>
          <t>continuidad estable</t>
        </is>
      </c>
      <c r="D48" s="3" t="inlineStr">
        <is>
          <t>logrado</t>
        </is>
      </c>
      <c r="E48" s="3" t="inlineStr">
        <is>
          <t>logrado</t>
        </is>
      </c>
      <c r="F48" s="3" t="inlineStr">
        <is>
          <t>Orientación estratégica de la CTeI; Gobernanza del sistema de CTeI; Ciencia abierta</t>
        </is>
      </c>
      <c r="G48" s="3" t="inlineStr">
        <is>
          <t>Presidencia de la República; Ministerio de Ciencia, Tecnología e Innovación; Congreso de la República</t>
        </is>
      </c>
      <c r="H48" s="3" t="inlineStr">
        <is>
          <t>Es un instrumento de un solo acto normativo, agotado en su función creadora en 2018-2022; en 2022-2026 solo se invoca como fundamento legal ya consolidado, sin nueva acción de reforma o expedición.</t>
        </is>
      </c>
      <c r="I48" s="3" t="inlineStr">
        <is>
          <t>En cumplimiento de la primera recomendación de la Misión Internacional de Sabios 2019, el presidente Duque sancionó la Ley 2162 de 2021 que transformó a Colciencias (Departamento Administrativo) en Ministerio de Ciencia, Tecnología e Innovación, dotándolo de funciones para formular política de CTeI, apropiación social del conocimiento y sistemas de información.</t>
        </is>
      </c>
      <c r="J48" s="3" t="inlineStr">
        <is>
          <t>El Ministerio ya creado continúa operando bajo esta ley; no se trata de un nuevo acto normativo en 2022-2026, sino del marco legal vigente que sostiene la institucionalidad (se referencia como fundamento jurídico, p.ej. para la Política de Ciencia Abierta).</t>
        </is>
      </c>
      <c r="K48" s="3" t="inlineStr">
        <is>
          <t>2018–2022: p. 1, 9, 10, 41, 42; 2022–2026: p. 8, 54, 55</t>
        </is>
      </c>
      <c r="L48" s="3" t="inlineStr">
        <is>
          <t>ley-2162-de-2021-creacion-del-ministerio-de-ciencia-tecnologia-e-innovacion</t>
        </is>
      </c>
    </row>
    <row r="49">
      <c r="A49" s="3" t="inlineStr">
        <is>
          <t>Decreto 1666 de 2021 (Gobernanza del SNCTI)</t>
        </is>
      </c>
      <c r="B49" s="3" t="inlineStr">
        <is>
          <t>autoridad</t>
        </is>
      </c>
      <c r="C49" s="3" t="inlineStr">
        <is>
          <t>continuidad estable</t>
        </is>
      </c>
      <c r="D49" s="3" t="inlineStr">
        <is>
          <t>logrado</t>
        </is>
      </c>
      <c r="E49" s="3" t="inlineStr">
        <is>
          <t>logrado</t>
        </is>
      </c>
      <c r="F49" s="3" t="inlineStr">
        <is>
          <t>Orientación estratégica de la CTeI; Gobernanza del sistema de CTeI</t>
        </is>
      </c>
      <c r="G49" s="3" t="inlineStr">
        <is>
          <t>Presidencia de la República; Ministerio de Ciencia, Tecnología e Innovación; CONACTI; Consejo Científico Nacional; CODECTI; Consejo Nacional de Bioética; Consejo Científico Nacional (CCN); Consejo Nacional de Bioética (CNB)</t>
        </is>
      </c>
      <c r="H49" s="3" t="inlineStr">
        <is>
          <t>Continuidad estable: mismo decreto, misma arquitectura institucional y misma lógica de gobernanza operando sin cambios sustantivos entre ambos gobiernos.</t>
        </is>
      </c>
      <c r="I49" s="3" t="inlineStr">
        <is>
          <t>Duque firmó el decreto que modificó el SNCTI (objetivos, componentes, actores) creando/formalizando instancias como CONACTI, Consejo Científico Nacional, CODECTI y Consejo Nacional de Bioética, respondiendo a la recomendación de gobernanza de la Misión de Sabios.</t>
        </is>
      </c>
      <c r="J49" s="3" t="inlineStr">
        <is>
          <t>El decreto sigue vigente como marco normativo de gobernanza; el gobierno Petro reporta el funcionamiento continuo de las instancias creadas por este decreto (CONACTI, CCN, CNB) con la misma periodicidad e integrantes.</t>
        </is>
      </c>
      <c r="K49" s="3" t="inlineStr">
        <is>
          <t>2018–2022: p. 1, 9, 10, 31, 41, 42, 76, 77; 2022–2026: p. 87, 88</t>
        </is>
      </c>
      <c r="L49" s="3" t="inlineStr">
        <is>
          <t>decreto-1666-de-2021-gobernanza-del-sncti</t>
        </is>
      </c>
    </row>
    <row r="50">
      <c r="A50" s="3" t="inlineStr">
        <is>
          <t>CONPES 4069 de 2021 - Política Nacional de CTeI 2022-2031</t>
        </is>
      </c>
      <c r="B50" s="3" t="inlineStr">
        <is>
          <t>nodalidad</t>
        </is>
      </c>
      <c r="C50" s="3" t="inlineStr">
        <is>
          <t>continuidad estable</t>
        </is>
      </c>
      <c r="D50" s="3" t="inlineStr">
        <is>
          <t>logrado</t>
        </is>
      </c>
      <c r="E50" s="3" t="inlineStr">
        <is>
          <t>logrado</t>
        </is>
      </c>
      <c r="F50" s="3" t="inlineStr">
        <is>
          <t>Orientación estratégica de la CTeI; Ciencia abierta; Beneficios tributarios para CTeI</t>
        </is>
      </c>
      <c r="G50" s="3" t="inlineStr">
        <is>
          <t>Ministerio de Ciencia, Tecnología e Innovación; Departamento Nacional de Planeación; Ministerio de Hacienda y Crédito Público; DNP</t>
        </is>
      </c>
      <c r="H50" s="3" t="inlineStr">
        <is>
          <t>El documento de política permanece igual (mismo horizonte a 2031, misma lógica); en el segundo gobierno funciona como paraguas normativo del que se desprenden desarrollos puntuales (ciencia abierta), sin cambio de rumbo ni de escala reportado.</t>
        </is>
      </c>
      <c r="I50" s="3" t="inlineStr">
        <is>
          <t>Duque formuló y publicó el CONPES 4069 de 2021 como la política nacional de CTeI a 10 años, con 7 ejes y una inversión indicativa de $1,15 billones más cupos de hasta $30 billones vía SGR y beneficios tributarios, respondiendo a las recomendaciones de la Misión de Sabios.</t>
        </is>
      </c>
      <c r="J50" s="3" t="inlineStr">
        <is>
          <t>El gobierno Petro no reformula el CONPES 4069 sino que lo sigue usando como marco habilitante vigente, derivando de él instrumentos específicos como la Política Nacional de Ciencia Abierta (Resolución 0777 de 2022).</t>
        </is>
      </c>
      <c r="K50" s="3" t="inlineStr">
        <is>
          <t>2018–2022: p. 31, 32, 41, 42; 2022–2026: p. 55</t>
        </is>
      </c>
      <c r="L50" s="3" t="inlineStr">
        <is>
          <t>conpes-4069-de-2021-politica-nacional-de-ctei-2022-2031</t>
        </is>
      </c>
    </row>
    <row r="51">
      <c r="A51" s="3" t="inlineStr">
        <is>
          <t>Convocatorias SGR-CTeI orientadas a los ocho focos de la Misión de Sabios</t>
        </is>
      </c>
      <c r="B51" s="3" t="inlineStr">
        <is>
          <t>tesoro</t>
        </is>
      </c>
      <c r="C51" s="3" t="inlineStr">
        <is>
          <t>terminación</t>
        </is>
      </c>
      <c r="D51" s="3" t="inlineStr">
        <is>
          <t>logrado</t>
        </is>
      </c>
      <c r="E51" s="3" t="inlineStr">
        <is>
          <t>—</t>
        </is>
      </c>
      <c r="F51" s="3" t="inlineStr">
        <is>
          <t>Orientación estratégica de la CTeI; Bioeconomía; Transición energética</t>
        </is>
      </c>
      <c r="G51" s="3" t="inlineStr">
        <is>
          <t>Ministerio de Ciencia, Tecnología e Innovación; Sistema General de Regalías (SGR); Sistema Nacional de Ciencia, Tecnología e Innovación (SNCTI)</t>
        </is>
      </c>
      <c r="H51" s="3" t="inlineStr">
        <is>
          <t>Instrumento específico de convocatoria atado al lenguaje y marco de la MIS que no se replica en el segundo gobierno; la lógica de financiar por 'focos/misiones' se mantiene pero migra hacia las nuevas 5 Misiones PIIOM del CONPES/Resolución 1452 de 2024, no hacia los 8 focos originales de la MIS.</t>
        </is>
      </c>
      <c r="I51" s="3" t="inlineStr">
        <is>
          <t>Bajo Duque se abrieron convocatorias específicas del SGR-CTeI para financiar proyectos alineados a focos temáticos concretos de la Misión de Sabios (industrias creativas, tecnologías convergentes/industria 4.0, océanos, energía), con montos individuales entre $10.000 y $20.000 millones.</t>
        </is>
      </c>
      <c r="J51" s="3" t="inlineStr">
        <is>
          <t>El informe de empalme 2022-2026 no reporta continuidad de convocatorias etiquetadas explícitamente como 'focos de la Misión de Sabios'; los recursos de regalías se reorientan hacia las nuevas Misiones PIIOM (Bioeconomía, Transición Energética, Ciencia para la Paz, etc.).</t>
        </is>
      </c>
      <c r="K51" s="3" t="inlineStr">
        <is>
          <t>2018–2022: p. 31, 32</t>
        </is>
      </c>
      <c r="L51" s="3" t="inlineStr">
        <is>
          <t>convocatorias-sgr-ctei-orientadas-a-los-ocho-focos-de-la-mision-de-sabios</t>
        </is>
      </c>
    </row>
    <row r="52">
      <c r="A52" s="3" t="inlineStr">
        <is>
          <t>Consejo Nacional de Política de Ciencia, Tecnología e Innovación (CONACTI)</t>
        </is>
      </c>
      <c r="B52" s="3" t="inlineStr">
        <is>
          <t>organización</t>
        </is>
      </c>
      <c r="C52" s="3" t="inlineStr">
        <is>
          <t>continuidad estable</t>
        </is>
      </c>
      <c r="D52" s="3" t="inlineStr">
        <is>
          <t>logrado</t>
        </is>
      </c>
      <c r="E52" s="3" t="inlineStr">
        <is>
          <t>logrado</t>
        </is>
      </c>
      <c r="F52" s="3" t="inlineStr">
        <is>
          <t>Orientación estratégica de la CTeI; Gobernanza del sistema de CTeI</t>
        </is>
      </c>
      <c r="G52" s="3" t="inlineStr">
        <is>
          <t>Ministerio de Ciencia, Tecnología e Innovación; Ministerio de Comercio, Industria y Turismo; Ministerio de Educación Nacional; MinTIC; DNP; DAFP; SENA; Colegio Máximo de las Academias</t>
        </is>
      </c>
      <c r="H52" s="3" t="inlineStr">
        <is>
          <t>Continuidad estable: misma norma habilitante, misma composición y misma frecuencia operativa reportada en ambos gobiernos.</t>
        </is>
      </c>
      <c r="I52" s="3" t="inlineStr">
        <is>
          <t>Creado/formalizado por el Decreto 1666 de 2021 como instancia de gobernanza multisectorial del SNCTI, integrando ministerios, academia y sector productivo, en respuesta a la recomendación de gobernanza de la Misión de Sabios.</t>
        </is>
      </c>
      <c r="J52" s="3" t="inlineStr">
        <is>
          <t>El CONACTI continúa funcionando bajo el mismo decreto, con la misma composición y periodicidad de reuniones (dos veces al año), presidido por el Ministro de Ciencia.</t>
        </is>
      </c>
      <c r="K52" s="3" t="inlineStr">
        <is>
          <t>2018–2022: p. 32; 2022–2026: p. 87</t>
        </is>
      </c>
      <c r="L52" s="3" t="inlineStr">
        <is>
          <t>consejo-nacional-de-politica-de-ciencia-tecnologia-e-innovacion-conacti</t>
        </is>
      </c>
    </row>
    <row r="53">
      <c r="A53" s="3" t="inlineStr">
        <is>
          <t>Consejo Científico Nacional (CCN)</t>
        </is>
      </c>
      <c r="B53" s="3" t="inlineStr">
        <is>
          <t>organización</t>
        </is>
      </c>
      <c r="C53" s="3" t="inlineStr">
        <is>
          <t>continuidad estable</t>
        </is>
      </c>
      <c r="D53" s="3" t="inlineStr">
        <is>
          <t>propuesto</t>
        </is>
      </c>
      <c r="E53" s="3" t="inlineStr">
        <is>
          <t>logrado</t>
        </is>
      </c>
      <c r="F53" s="3" t="inlineStr">
        <is>
          <t>Orientación estratégica de la CTeI; Gobernanza del sistema de CTeI</t>
        </is>
      </c>
      <c r="G53" s="3" t="inlineStr">
        <is>
          <t>Ministerio de Ciencia, Tecnología e Innovación; Presidencia de la República</t>
        </is>
      </c>
      <c r="H53" s="3" t="inlineStr">
        <is>
          <t>El instrumento pasa de fase propuesta/en diseño (2018-2022) a plenamente implementado y operativo (2022-2026), manteniendo la misma lógica y tamaño previstos por el decreto original.</t>
        </is>
      </c>
      <c r="I53" s="3" t="inlineStr">
        <is>
          <t>Bajo Duque, el CCN estaba en fase de diseño/propuesta: Minciencias trabajaba en el mecanismo de postulación de investigadores para conformar por primera vez este consejo, previsto por el Decreto 1666 de 2021.</t>
        </is>
      </c>
      <c r="J53" s="3" t="inlineStr">
        <is>
          <t>Bajo Petro, el CCN ya está conformado y operando de manera permanente con 10 investigadores de alto nivel, conceptuando ante coyunturas de gobierno.</t>
        </is>
      </c>
      <c r="K53" s="3" t="inlineStr">
        <is>
          <t>2018–2022: p. 32; 2022–2026: p. 87</t>
        </is>
      </c>
      <c r="L53" s="3" t="inlineStr">
        <is>
          <t>consejo-cientifico-nacional-ccn</t>
        </is>
      </c>
    </row>
    <row r="54">
      <c r="A54" s="3" t="inlineStr">
        <is>
          <t>Consejos Departamentales de Ciencia, Tecnología e Innovación (CODECTI)</t>
        </is>
      </c>
      <c r="B54" s="3" t="inlineStr">
        <is>
          <t>organización</t>
        </is>
      </c>
      <c r="C54" s="3" t="inlineStr">
        <is>
          <t>continuidad estable</t>
        </is>
      </c>
      <c r="D54" s="3" t="inlineStr">
        <is>
          <t>logrado</t>
        </is>
      </c>
      <c r="E54" s="3" t="inlineStr">
        <is>
          <t>logrado</t>
        </is>
      </c>
      <c r="F54" s="3" t="inlineStr">
        <is>
          <t>Orientación estratégica de la CTeI; Gobernanza del sistema de CTeI; Talento humano y capacidades regionales</t>
        </is>
      </c>
      <c r="G54" s="3" t="inlineStr">
        <is>
          <t>Gobernaciones; Alcaldías; Ministerio de Ciencia, Tecnología e Innovación</t>
        </is>
      </c>
      <c r="H54" s="3" t="inlineStr">
        <is>
          <t>Continuidad estable en composición y marco normativo entre los dos gobiernos.</t>
        </is>
      </c>
      <c r="I54" s="3" t="inlineStr">
        <is>
          <t>Instancias regionales de gobernanza del SNCTI fortalecidas por el Decreto 1666 de 2021, usadas además para focalizar convocatorias territoriales (p. ej. Convocatoria 21 con recursos SGR de $40.000 millones).</t>
        </is>
      </c>
      <c r="J54" s="3" t="inlineStr">
        <is>
          <t>Continúan operando bajo el mismo marco normativo (Decreto 1666 de 2021 y Decreto 584 de 2017), como canal de participación de gobernadores y alcaldes en la gobernanza territorial de CTeI.</t>
        </is>
      </c>
      <c r="K54" s="3" t="inlineStr">
        <is>
          <t>2018–2022: p. 32, 39; 2022–2026: p. 87</t>
        </is>
      </c>
      <c r="L54" s="3" t="inlineStr">
        <is>
          <t>consejos-departamentales-de-ciencia-tecnologia-e-innovacion-codecti</t>
        </is>
      </c>
    </row>
    <row r="55">
      <c r="A55" s="3" t="inlineStr">
        <is>
          <t>Programa de Beneficios Tributarios para CTeI</t>
        </is>
      </c>
      <c r="B55" s="3" t="inlineStr">
        <is>
          <t>tesoro</t>
        </is>
      </c>
      <c r="C55" s="3" t="inlineStr">
        <is>
          <t>conversión</t>
        </is>
      </c>
      <c r="D55" s="3" t="inlineStr">
        <is>
          <t>logrado</t>
        </is>
      </c>
      <c r="E55" s="3" t="inlineStr">
        <is>
          <t>logrado</t>
        </is>
      </c>
      <c r="F55" s="3" t="inlineStr">
        <is>
          <t>Orientación estratégica de la CTeI; Innovación empresarial y sofisticación productiva; Beneficios tributarios para CTeI; Talento humano y capacidades regionales</t>
        </is>
      </c>
      <c r="G55" s="3" t="inlineStr">
        <is>
          <t>Ministerio de Ciencia, Tecnología e Innovación; Consejo Nacional de Beneficios Tributarios en CTeI (CNBT); CONFIS; MinCiencias; Consejo Nacional de Beneficios Tributarios (CNBT); Ministerio de Ciencia, Tecnología e Innovación (Minciencias)</t>
        </is>
      </c>
      <c r="H55" s="3" t="inlineStr">
        <is>
          <t>Conversion explícita reconocida en el propio informe: 'estos mecanismos nacieron originalmente con una lógica puramente empresarial e industrial, pero... el Gobierno del cambio comenzó a utilizar el incentivo fiscal para motivar al sector privado a resolver los problemas más urgentes del país' vía criterios de las PIIOM y descentralización territorial.</t>
        </is>
      </c>
      <c r="I55" s="3" t="inlineStr">
        <is>
          <t>Bajo Duque el programa operó con lógica empresarial e industrial clásica: deducción, descuento, crédito fiscal, exención de IVA, orientado a incrementar inversión privada en I+D+i, con $4.4 billones asignados en cupo 2019-2021.</t>
        </is>
      </c>
      <c r="J55" s="3" t="inlineStr">
        <is>
          <t>Bajo Petro se mantiene el mismo instrumento tributario, pero el ministerio 'transformó el enfoque hacia el beneficio social y de equidad regional', priorizando proyectos que resuelven soberanía alimentaria, transición energética justa y salud, con puntajes adicionales para municipios PDET y regiones de bajo desarrollo científico.</t>
        </is>
      </c>
      <c r="K55" s="3" t="inlineStr">
        <is>
          <t>2018–2022: p. 33, 34, 35, 42, 43; 2022–2026: p. 46, 47, 48, 49, 50</t>
        </is>
      </c>
      <c r="L55" s="3" t="inlineStr">
        <is>
          <t>programa-de-beneficios-tributarios-para-ctei</t>
        </is>
      </c>
    </row>
    <row r="56">
      <c r="A56" s="3" t="inlineStr">
        <is>
          <t>Política Nacional de Ciencia Abierta 2022-2031 (Resolución 0777 de 2022)</t>
        </is>
      </c>
      <c r="B56" s="3" t="inlineStr">
        <is>
          <t>nodalidad</t>
        </is>
      </c>
      <c r="C56" s="3" t="inlineStr">
        <is>
          <t>conversión</t>
        </is>
      </c>
      <c r="D56" s="3" t="inlineStr">
        <is>
          <t>propuesto</t>
        </is>
      </c>
      <c r="E56" s="3" t="inlineStr">
        <is>
          <t>logrado</t>
        </is>
      </c>
      <c r="F56" s="3" t="inlineStr">
        <is>
          <t>Orientación estratégica de la CTeI; Ciencia abierta; Apropiación social del conocimiento</t>
        </is>
      </c>
      <c r="G56" s="3" t="inlineStr">
        <is>
          <t>Ministerio de Ciencia, Tecnología e Innovación</t>
        </is>
      </c>
      <c r="H56" s="3" t="inlineStr">
        <is>
          <t>Estratificación: el instrumento formal (resolución que adopta la política) es nuevo en 2022-2026, construido sobre el trabajo preparatorio (lineamientos, Red de Información Científica) que ya existía bajo Duque.</t>
        </is>
      </c>
      <c r="I56" s="3" t="inlineStr">
        <is>
          <t>Duque desarrolló los lineamientos y la Red Colombiana de Información Científica como avances preparatorios, con el documento oficial previsto para el primer semestre de 2022 (aún no adoptado formalmente).</t>
        </is>
      </c>
      <c r="J56" s="3" t="inlineStr">
        <is>
          <t>Petro formalizó la política mediante la Resolución 0777 de 2022, en el marco del CONPES 4069, usándola como base normativa para dar cumplimiento al artículo 171 de la Ley 2294 de 2023 (Democratización de la Ciencia) sin necesidad de decreto adicional.</t>
        </is>
      </c>
      <c r="K56" s="3" t="inlineStr">
        <is>
          <t>2018–2022: p. 23, 24, 25, 26; 2022–2026: p. 54, 55</t>
        </is>
      </c>
      <c r="L56" s="3" t="inlineStr">
        <is>
          <t>politica-nacional-de-ciencia-abierta-2022-2031-resolucion-0777-de-2022</t>
        </is>
      </c>
    </row>
    <row r="57">
      <c r="A57" s="3" t="inlineStr">
        <is>
          <t>PIIOM (Resolución 1452 de 2024) referenciadas desde CONPES 4069</t>
        </is>
      </c>
      <c r="B57" s="3" t="inlineStr">
        <is>
          <t>nodalidad</t>
        </is>
      </c>
      <c r="C57" s="3" t="inlineStr">
        <is>
          <t>estratificación</t>
        </is>
      </c>
      <c r="D57" s="3" t="inlineStr">
        <is>
          <t>—</t>
        </is>
      </c>
      <c r="E57" s="3" t="inlineStr">
        <is>
          <t>logrado</t>
        </is>
      </c>
      <c r="F57" s="3" t="inlineStr">
        <is>
          <t>Orientación estratégica de la CTeI; Bioeconomía; Transición energética; Ciencia para la paz; Derecho humano a la alimentación; Soberanía sanitaria y bienestar social</t>
        </is>
      </c>
      <c r="G57" s="3" t="inlineStr">
        <is>
          <t>Ministerio de Ciencia, Tecnología e Innovación</t>
        </is>
      </c>
      <c r="H57" s="3" t="inlineStr">
        <is>
          <t>Instrumento nuevo del segundo gobierno (2022-2026) que se apoya explícitamente en el marco del CONPES 4069 como su antecedente normativo; no existía en 2018-2022.</t>
        </is>
      </c>
      <c r="I57" s="3" t="inlineStr"/>
      <c r="J57" s="3" t="inlineStr">
        <is>
          <t>El 3 de septiembre de 2024 el Ministerio adoptó formalmente las PIIOM mediante Resolución 1452 de 2024, como política sistémica basada en conocimiento de frontera, definida como desarrollo posterior y ejercicio de implementación del CONPES 4069.</t>
        </is>
      </c>
      <c r="K57" s="3" t="inlineStr">
        <is>
          <t>2022–2026: p. 56</t>
        </is>
      </c>
      <c r="L57" s="3" t="inlineStr">
        <is>
          <t>piiom-resolucion-1452-de-2024-referenciadas-desde-conpes-4069</t>
        </is>
      </c>
    </row>
    <row r="58">
      <c r="A58" s="3" t="inlineStr">
        <is>
          <t>Modernización institucional / rediseño del Ministerio</t>
        </is>
      </c>
      <c r="B58" s="3" t="inlineStr">
        <is>
          <t>organización</t>
        </is>
      </c>
      <c r="C58" s="3" t="inlineStr">
        <is>
          <t>estratificación</t>
        </is>
      </c>
      <c r="D58" s="3" t="inlineStr">
        <is>
          <t>—</t>
        </is>
      </c>
      <c r="E58" s="3" t="inlineStr">
        <is>
          <t>pendiente</t>
        </is>
      </c>
      <c r="F58" s="3" t="inlineStr">
        <is>
          <t>Orientación estratégica de la CTeI; Gobernanza del sistema de CTeI; Ciencia abierta; Apropiación social del conocimiento</t>
        </is>
      </c>
      <c r="G58" s="3" t="inlineStr">
        <is>
          <t>Ministerio de Ciencia, Tecnología e Innovación; DAFP; DNP; MinHacienda; Presidencia de la República; Departamento Nacional de Planeación (DNP); Ministerio de Hacienda y Crédito Público; Departamento Administrativo de la Función Pública (DAFP)</t>
        </is>
      </c>
      <c r="H58" s="3" t="inlineStr">
        <is>
          <t>Instrumento propio del segundo gobierno derivado de un mandato legal del PND 2022-2026, sin antecedente directo equivalente en el informe 2018-2022; queda en estado pendiente al cierre del cuatrienio.</t>
        </is>
      </c>
      <c r="I58" s="3" t="inlineStr"/>
      <c r="J58" s="3" t="inlineStr">
        <is>
          <t>En cumplimiento del artículo 225 del PND 2022-2026, el Ministerio evaluó crear una agencia especializada de CTeI, descartó esa opción y formuló una propuesta de rediseño institucional (75 empleos nuevos), que al cierre del gobierno queda pendiente de autorización ante Presidencia, DNP, MinHacienda y DAFP.</t>
        </is>
      </c>
      <c r="K58" s="3" t="inlineStr">
        <is>
          <t>2022–2026: p. 54, 55, 56</t>
        </is>
      </c>
      <c r="L58" s="3" t="inlineStr">
        <is>
          <t>modernizacion-institucional-rediseno-del-ministerio</t>
        </is>
      </c>
    </row>
    <row r="59">
      <c r="A59" s="3" t="inlineStr">
        <is>
          <t>Becas y créditos-beca para doctorados y maestrías (906/885, Doctorados Nacionales, COLFUTURO/FULBRIGHT/ICETEX)</t>
        </is>
      </c>
      <c r="B59" s="3" t="inlineStr">
        <is>
          <t>tesoro</t>
        </is>
      </c>
      <c r="C59" s="3" t="inlineStr">
        <is>
          <t>terminación</t>
        </is>
      </c>
      <c r="D59" s="3" t="inlineStr">
        <is>
          <t>logrado</t>
        </is>
      </c>
      <c r="E59" s="3" t="inlineStr">
        <is>
          <t>—</t>
        </is>
      </c>
      <c r="F59" s="3" t="inlineStr">
        <is>
          <t>Talento humano y capacidades regionales</t>
        </is>
      </c>
      <c r="G59" s="3" t="inlineStr">
        <is>
          <t>Minciencias/Colciencias; ICETEX; COLFUTURO; FULBRIGHT; Colciencias / MinCiencias; Colfuturo; Fulbright</t>
        </is>
      </c>
      <c r="H59" s="3" t="inlineStr">
        <is>
          <t>El instrumento se mantiene formalmente (becas/créditos para doctorados y maestrías) pero cambia de lógica: de un modelo centrado en crédito-beca y movilidad al exterior (COLFUTURO/FULBRIGHT) a uno de becas 100% sin deuda, foco en equidad socioeconómica y fortalecimiento de universidades públicas nacionales (Becas para el Cambio).</t>
        </is>
      </c>
      <c r="I59" s="3" t="inlineStr">
        <is>
          <t>Bajo Duque, la formación de doctores y maestrías se apoyó mediante becas/créditos-beca dispersos en múltiples convocatorias (906, 885, Doctorados Nacionales, Convocatoria 15 del SGR) y alianzas con COLFUTURO, FULBRIGHT e ICETEX, alcanzando 2.751 becas doctorales y 1.170 maestrías (2021) en el cuatrienio.</t>
        </is>
      </c>
      <c r="J59" s="3" t="inlineStr">
        <is>
          <t>Bajo Petro este instrumento se redespliega como el Programa de Formación de Alto Nivel y, sobre todo, como el Programa Becas para el Cambio con ICETEX: becas del 100% sin endeudamiento ni barreras socioeconómicas, respaldado por el CONPES 4182 de 2026, dirigido explícitamente a estratos 1-2-3 y a universidades públicas nacionales, revirtiendo el patrón histórico donde el 67% de beneficiarios eran de estratos 4-5-6.</t>
        </is>
      </c>
      <c r="K59" s="3" t="inlineStr">
        <is>
          <t>2018–2022: p. 20, 21</t>
        </is>
      </c>
      <c r="L59" s="3" t="inlineStr">
        <is>
          <t>becas-y-creditos-beca-para-doctorados-y-maestrias-906-885-doctorados-nacionales-colfuturo-fulbright-icetex</t>
        </is>
      </c>
    </row>
    <row r="60">
      <c r="A60" s="3" t="inlineStr">
        <is>
          <t>Programa de Formación de Alto Nivel (doctorados y maestrías) 2022-2026</t>
        </is>
      </c>
      <c r="B60" s="3" t="inlineStr">
        <is>
          <t>tesoro</t>
        </is>
      </c>
      <c r="C60" s="3" t="inlineStr">
        <is>
          <t>estratificación</t>
        </is>
      </c>
      <c r="D60" s="3" t="inlineStr">
        <is>
          <t>—</t>
        </is>
      </c>
      <c r="E60" s="3" t="inlineStr">
        <is>
          <t>logrado</t>
        </is>
      </c>
      <c r="F60" s="3" t="inlineStr">
        <is>
          <t>Talento humano y capacidades regionales; Orientación estratégica de la CTeI</t>
        </is>
      </c>
      <c r="G60" s="3" t="inlineStr">
        <is>
          <t>Ministerio de Ciencia, Tecnología e Innovación; ICETEX; COLFUTURO; MinCiencias; OAPII - MinCiencias; 41 IES (23 IES públicas, 21 IES privadas, 2 otros centros educativos)</t>
        </is>
      </c>
      <c r="H60" s="3" t="inlineStr">
        <is>
          <t>Estratifica y reorganiza bajo un solo paraguas programático lo que antes eran mecanismos dispersos, con explícito giro hacia equidad socioeconómica.</t>
        </is>
      </c>
      <c r="I60" s="3" t="inlineStr">
        <is>
          <t>No existe con este nombre en 2018-2022; su antecedente son las becas/créditos-beca dispersos (906/885/COLFUTURO/FULBRIGHT/ICETEX).</t>
        </is>
      </c>
      <c r="J60" s="3" t="inlineStr">
        <is>
          <t>Bajo Petro se consolida como programa único de 'Formación de Alto Nivel' con 15 convocatorias y el buque insignia Becas para el Cambio: becas 100% sin deuda para maestrías y doctorados, priorizando estratos bajos y matrícula en universidades públicas nacionales, respaldado por el CONPES 4182 de 2026.</t>
        </is>
      </c>
      <c r="K60" s="3" t="inlineStr">
        <is>
          <t>2022–2026: p. 20, 33, 34, 35</t>
        </is>
      </c>
      <c r="L60" s="3" t="inlineStr">
        <is>
          <t>programa-de-formacion-de-alto-nivel-doctorados-y-maestrias-2022-2026</t>
        </is>
      </c>
    </row>
    <row r="61">
      <c r="A61" s="3" t="inlineStr">
        <is>
          <t>Estancias Postdoctorales</t>
        </is>
      </c>
      <c r="B61" s="3" t="inlineStr">
        <is>
          <t>tesoro</t>
        </is>
      </c>
      <c r="C61" s="3" t="inlineStr">
        <is>
          <t>conversión</t>
        </is>
      </c>
      <c r="D61" s="3" t="inlineStr">
        <is>
          <t>logrado</t>
        </is>
      </c>
      <c r="E61" s="3" t="inlineStr">
        <is>
          <t>logrado</t>
        </is>
      </c>
      <c r="F61" s="3" t="inlineStr">
        <is>
          <t>Talento humano y capacidades regionales</t>
        </is>
      </c>
      <c r="G61" s="3" t="inlineStr">
        <is>
          <t>Minciencias/Colciencias; SNCTI</t>
        </is>
      </c>
      <c r="H61" s="3" t="inlineStr">
        <is>
          <t>El instrumento continúa pero se redespliega incorporando un fuerte componente de equidad de género (Orquídeas), cambiando su composición de beneficiarios y su narrativa de propósito.</t>
        </is>
      </c>
      <c r="I61" s="3" t="inlineStr">
        <is>
          <t>Bajo Duque, las estancias postdoctorales apoyaron 647 doctores en el cuatrienio a través de convocatorias específicas 2019-2020 y mecanismos de reactivación postpandemia, vinculados al sector productivo.</t>
        </is>
      </c>
      <c r="J61" s="3" t="inlineStr">
        <is>
          <t>Bajo Petro, las estancias postdoctorales se redespliegan integrando el Programa Orquídeas Mujeres en la Ciencia (542 doctoras) además de 866 doctores, con foco de género explícito y mayor inversión.</t>
        </is>
      </c>
      <c r="K61" s="3" t="inlineStr">
        <is>
          <t>2018–2022: p. 21; 2022–2026: p. 20</t>
        </is>
      </c>
      <c r="L61" s="3" t="inlineStr">
        <is>
          <t>estancias-postdoctorales</t>
        </is>
      </c>
    </row>
    <row r="62">
      <c r="A62" s="3" t="inlineStr">
        <is>
          <t>Programa Jóvenes Investigadores e Innovadores</t>
        </is>
      </c>
      <c r="B62" s="3" t="inlineStr">
        <is>
          <t>tesoro</t>
        </is>
      </c>
      <c r="C62" s="3" t="inlineStr">
        <is>
          <t>continuidad estable</t>
        </is>
      </c>
      <c r="D62" s="3" t="inlineStr">
        <is>
          <t>logrado</t>
        </is>
      </c>
      <c r="E62" s="3" t="inlineStr">
        <is>
          <t>logrado</t>
        </is>
      </c>
      <c r="F62" s="3" t="inlineStr">
        <is>
          <t>Talento humano y capacidades regionales; Transición energética; Derecho humano a la alimentación; Soberanía sanitaria y bienestar social</t>
        </is>
      </c>
      <c r="G62" s="3" t="inlineStr">
        <is>
          <t>Minciencias/Colciencias</t>
        </is>
      </c>
      <c r="H62" s="3" t="inlineStr">
        <is>
          <t>Mismo instrumento y lógica de formación temprana de vocación investigativa; cambia el empaquetamiento hacia convocatorias sectoriales ligadas a las misiones PIIOM.</t>
        </is>
      </c>
      <c r="I62" s="3" t="inlineStr">
        <is>
          <t>Bajo Duque apoyó a 3.255 jóvenes en el cuatrienio mediante estrategias como Jóvenes Salud y Mujer+Ciencia+Equidad.</t>
        </is>
      </c>
      <c r="J62" s="3" t="inlineStr">
        <is>
          <t>Bajo Petro continúa con 1.330 jóvenes vinculados vía 15-16 convocatorias temáticas (hidrocarburos, bioeconomía, energía, catastro multipropósito), ahora explícitamente articuladas a las PIIOM.</t>
        </is>
      </c>
      <c r="K62" s="3" t="inlineStr">
        <is>
          <t>2018–2022: p. 21; 2022–2026: p. 38, 39</t>
        </is>
      </c>
      <c r="L62" s="3" t="inlineStr">
        <is>
          <t>programa-jovenes-investigadores-e-innovadores</t>
        </is>
      </c>
    </row>
    <row r="63">
      <c r="A63" s="3" t="inlineStr">
        <is>
          <t>Programa ONDAS</t>
        </is>
      </c>
      <c r="B63" s="3" t="inlineStr">
        <is>
          <t>tesoro</t>
        </is>
      </c>
      <c r="C63" s="3" t="inlineStr">
        <is>
          <t>continuidad estable</t>
        </is>
      </c>
      <c r="D63" s="3" t="inlineStr">
        <is>
          <t>logrado</t>
        </is>
      </c>
      <c r="E63" s="3" t="inlineStr">
        <is>
          <t>logrado</t>
        </is>
      </c>
      <c r="F63" s="3" t="inlineStr">
        <is>
          <t>Talento humano y capacidades regionales; Apropiación social del conocimiento</t>
        </is>
      </c>
      <c r="G63" s="3" t="inlineStr">
        <is>
          <t>Minciencias/Colciencias; universidades departamentales coordinadoras</t>
        </is>
      </c>
      <c r="H63" s="3" t="inlineStr">
        <is>
          <t>El programa mantiene su identidad y lógica pedagógica (investigación como estrategia pedagógica) pero se amplía y reempaqueta junto a nuevas líneas (STEAM, robótica, centros de interés).</t>
        </is>
      </c>
      <c r="I63" s="3" t="inlineStr">
        <is>
          <t>Bajo Duque, ONDAS certificó 25.776 NNA en el cuatrienio, con la estrategia adicional Ondas en Casa durante la pandemia (39.150 NNA en 11 departamentos).</t>
        </is>
      </c>
      <c r="J63" s="3" t="inlineStr">
        <is>
          <t>Bajo Petro, ONDAS se amplía integrándose con Campamentos STEAM y Centros de Interés en CTeI (más Colombia Robótica), alcanzando 62.433 NNA, bajo la estrategia Revolución del Cambio del PND 2022-2026.</t>
        </is>
      </c>
      <c r="K63" s="3" t="inlineStr">
        <is>
          <t>2018–2022: p. 21, 22; 2022–2026: p. 40, 41</t>
        </is>
      </c>
      <c r="L63" s="3" t="inlineStr">
        <is>
          <t>programa-ondas</t>
        </is>
      </c>
    </row>
    <row r="64">
      <c r="A64" s="3" t="inlineStr">
        <is>
          <t>Centros Regionales de Investigación, Innovación y Emprendimiento (CRIIE)</t>
        </is>
      </c>
      <c r="B64" s="3" t="inlineStr">
        <is>
          <t>organización</t>
        </is>
      </c>
      <c r="C64" s="3" t="inlineStr">
        <is>
          <t>terminación</t>
        </is>
      </c>
      <c r="D64" s="3" t="inlineStr">
        <is>
          <t>propuesto</t>
        </is>
      </c>
      <c r="E64" s="3" t="inlineStr">
        <is>
          <t>—</t>
        </is>
      </c>
      <c r="F64" s="3" t="inlineStr">
        <is>
          <t>Talento humano y capacidades regionales</t>
        </is>
      </c>
      <c r="G64" s="3" t="inlineStr">
        <is>
          <t>Ministerio de Ciencia, Tecnología e Innovación; gobernaciones y alcaldías territoriales</t>
        </is>
      </c>
      <c r="H64" s="3" t="inlineStr">
        <is>
          <t>Instrumento que quedó en fase de diseño/planeación bajo Duque y no aparece en absoluto en el informe de gestión de Petro: no se identifica continuidad ni sucesor con ese nombre.</t>
        </is>
      </c>
      <c r="I64" s="3" t="inlineStr">
        <is>
          <t>Bajo Duque se conceptualizó y diseñó el modelo CRIIE como estrategia de generación de capacidades regionales, priorizando 4 territorios (Turbo, Cereté, Buenaventura, Riohacha) tras firma de memorandos de entendimiento.</t>
        </is>
      </c>
      <c r="J64" s="3" t="inlineStr">
        <is>
          <t>El informe de empalme 2022-2026 de MinCiencias no menciona los CRIIE en ninguna sección; no hay evidencia de continuidad, conversión ni cierre formal documentado, sugiriendo que el instrumento no fue implementado ni continuado.</t>
        </is>
      </c>
      <c r="K64" s="3" t="inlineStr">
        <is>
          <t>2018–2022: p. 19, 20</t>
        </is>
      </c>
      <c r="L64" s="3" t="inlineStr">
        <is>
          <t>centros-regionales-de-investigacion-innovacion-y-emprendimiento-criie</t>
        </is>
      </c>
    </row>
    <row r="65">
      <c r="A65" s="3" t="inlineStr">
        <is>
          <t>Reconocimiento de actores del SNCTI (grupos de investigación, OTRI, etc.)</t>
        </is>
      </c>
      <c r="B65" s="3" t="inlineStr">
        <is>
          <t>nodalidad</t>
        </is>
      </c>
      <c r="C65" s="3" t="inlineStr">
        <is>
          <t>continuidad estable</t>
        </is>
      </c>
      <c r="D65" s="3" t="inlineStr">
        <is>
          <t>logrado</t>
        </is>
      </c>
      <c r="E65" s="3" t="inlineStr">
        <is>
          <t>logrado</t>
        </is>
      </c>
      <c r="F65" s="3" t="inlineStr">
        <is>
          <t>Talento humano y capacidades regionales; Gobernanza del sistema de CTeI; Orientación estratégica de la CTeI</t>
        </is>
      </c>
      <c r="G65" s="3" t="inlineStr">
        <is>
          <t>Minciencias/Colciencias</t>
        </is>
      </c>
      <c r="H65" s="3" t="inlineStr">
        <is>
          <t>El instrumento (nodalidad: registro/reconocimiento oficial de capacidades) se mantiene estable en su lógica y entidad responsable; cambia la escala y el foco pasa de actores institucionales diversos a grupos/investigadores individuales vía convocatoria específica.</t>
        </is>
      </c>
      <c r="I65" s="3" t="inlineStr">
        <is>
          <t>Bajo Duque, en 2021 se reconocieron 51 actores del SNCTI (centros de investigación, OTRI, parques tecnológicos, etc.), destacando departamentos como Chocó, Cauca, Meta y Bolívar.</t>
        </is>
      </c>
      <c r="J65" s="3" t="inlineStr">
        <is>
          <t>Bajo Petro, la Convocatoria 957/2024 reconoció 25.514 investigadores y 6.322 grupos de investigación, evidenciando fuerte concentración territorial en Bogotá (30,94% de grupos).</t>
        </is>
      </c>
      <c r="K65" s="3" t="inlineStr">
        <is>
          <t>2018–2022: p. 22, 23; 2022–2026: p. 49, 50</t>
        </is>
      </c>
      <c r="L65" s="3" t="inlineStr">
        <is>
          <t>reconocimiento-de-actores-del-sncti-grupos-de-investigacion-otri-etc</t>
        </is>
      </c>
    </row>
    <row r="66">
      <c r="A66" s="3" t="inlineStr">
        <is>
          <t>Becas para el Cambio (convocatoria 975, ICETEX) / CONPES 4182 de 2026</t>
        </is>
      </c>
      <c r="B66" s="3" t="inlineStr">
        <is>
          <t>tesoro</t>
        </is>
      </c>
      <c r="C66" s="3" t="inlineStr">
        <is>
          <t>estratificación</t>
        </is>
      </c>
      <c r="D66" s="3" t="inlineStr">
        <is>
          <t>—</t>
        </is>
      </c>
      <c r="E66" s="3" t="inlineStr">
        <is>
          <t>logrado</t>
        </is>
      </c>
      <c r="F66" s="3" t="inlineStr">
        <is>
          <t>Talento humano y capacidades regionales</t>
        </is>
      </c>
      <c r="G66" s="3" t="inlineStr">
        <is>
          <t>MinCiencias; ICETEX; DNP; Ministerio de Hacienda; Presidencia de la República</t>
        </is>
      </c>
      <c r="H66" s="3" t="inlineStr">
        <is>
          <t>Estratificación: instrumento nuevo (convocatoria 975) que reemplaza la lógica de crédito-beca por gratuidad plena, cambiando el modo de acceso a la formación de alto nivel.</t>
        </is>
      </c>
      <c r="I66" s="3" t="inlineStr">
        <is>
          <t>No existe; el modelo previo era de becas-crédito parcial con contraprestación/endeudamiento gestionadas vía Colciencias-ICETEX-Colfuturo-Fulbright.</t>
        </is>
      </c>
      <c r="J66" s="3" t="inlineStr">
        <is>
          <t>Se crea un modelo de beca 100% sin endeudamiento ni barreras socioeconómicas, dirigido a estratos 1, 2 y 3 y territorios excluidos, respaldado por el CONPES 4182 de 2026 para garantizar su continuidad presupuestal.</t>
        </is>
      </c>
      <c r="K66" s="3" t="inlineStr">
        <is>
          <t>2022–2026: p. 19, 20, 101, 102, 109</t>
        </is>
      </c>
      <c r="L66" s="3" t="inlineStr">
        <is>
          <t>becas-para-el-cambio-convocatoria-975-icetex-conpes-4182-de-2026</t>
        </is>
      </c>
    </row>
    <row r="67">
      <c r="A67" s="3" t="inlineStr">
        <is>
          <t>Unidades de Apropiación Social del Conocimiento en IES</t>
        </is>
      </c>
      <c r="B67" s="3" t="inlineStr">
        <is>
          <t>organización</t>
        </is>
      </c>
      <c r="C67" s="3" t="inlineStr">
        <is>
          <t>terminación</t>
        </is>
      </c>
      <c r="D67" s="3" t="inlineStr">
        <is>
          <t>logrado</t>
        </is>
      </c>
      <c r="E67" s="3" t="inlineStr">
        <is>
          <t>—</t>
        </is>
      </c>
      <c r="F67" s="3" t="inlineStr">
        <is>
          <t>Apropiación social del conocimiento</t>
        </is>
      </c>
      <c r="G67" s="3" t="inlineStr">
        <is>
          <t>Ministerio de Ciencia, Tecnología e Innovación (MinCiencias); Universidad Tecnológica de Pereira; Universidad del Quindío; Universidad EAFIT; Universidad Javeriana (Bogotá y Valle del Cauca)</t>
        </is>
      </c>
      <c r="H67" s="3" t="inlineStr">
        <is>
          <t>El instrumento no aparece mencionado como tal en el informe 2022-2026, lo que sugiere terminación o absorción difusa dentro de la nueva lógica de convocatorias comunitarias directas.</t>
        </is>
      </c>
      <c r="I67" s="3" t="inlineStr">
        <is>
          <t>Bajo Duque se crearon formalmente 5 Unidades de Apropiación Social del Conocimiento dentro de universidades (UTP, Quindío, EAFIT, dos sedes Javeriana) como nodos institucionales para anclar la ASC en el sistema de educación superior.</t>
        </is>
      </c>
      <c r="J67" s="3" t="inlineStr">
        <is>
          <t>El informe de empalme 2022-2026 no reporta continuidad explícita de esta figura institucional específica (Unidades de ASC en IES); el foco pasó a convocatorias directas a organizaciones comunitarias y laboratorios STEAM en territorios.</t>
        </is>
      </c>
      <c r="K67" s="3" t="inlineStr">
        <is>
          <t>2018–2022: p. 24</t>
        </is>
      </c>
      <c r="L67" s="3" t="inlineStr">
        <is>
          <t>unidades-de-apropiacion-social-del-conocimiento-en-ies</t>
        </is>
      </c>
    </row>
    <row r="68">
      <c r="A68" s="3" t="inlineStr">
        <is>
          <t>Reconocimiento de Museos y Centros de Ciencia</t>
        </is>
      </c>
      <c r="B68" s="3" t="inlineStr">
        <is>
          <t>autoridad</t>
        </is>
      </c>
      <c r="C68" s="3" t="inlineStr">
        <is>
          <t>terminación</t>
        </is>
      </c>
      <c r="D68" s="3" t="inlineStr">
        <is>
          <t>logrado</t>
        </is>
      </c>
      <c r="E68" s="3" t="inlineStr">
        <is>
          <t>—</t>
        </is>
      </c>
      <c r="F68" s="3" t="inlineStr">
        <is>
          <t>Apropiación social del conocimiento</t>
        </is>
      </c>
      <c r="G68" s="3" t="inlineStr">
        <is>
          <t>Ministerio de Ciencia, Tecnología e Innovación (MinCiencias); Fundación Jardín Botánico Guillermo Piñeres; Museo Paleontológico de Villa de Leyva; Museo de Ciencias Naturales de la Salle; Fundación Zoocriadero de Mariposas Andoke; Jardín Botánico de la Universidad Nacional de Colombia</t>
        </is>
      </c>
      <c r="H68" s="3" t="inlineStr">
        <is>
          <t>Sin mención de continuidad explícita en 2022-2026: el instrumento de reconocimiento formal de museos/centros de ciencia parece haber terminado como línea activa, sustituido en la práctica por laboratorios STEAM.</t>
        </is>
      </c>
      <c r="I68" s="3" t="inlineStr">
        <is>
          <t>Bajo Duque, MinCiencias desarrolló un mecanismo formal de reconocimiento de museos y centros de ciencia (5 centros reconocidos, más avances a 2022) como parte del fortalecimiento de capacidades regionales en CTeI.</t>
        </is>
      </c>
      <c r="J68" s="3" t="inlineStr">
        <is>
          <t>El informe 2022-2026 no reporta continuidad del mecanismo de reconocimiento de museos/centros de ciencia como línea propia; la apuesta de infraestructura de divulgación se reorienta hacia laboratorios STEAM.</t>
        </is>
      </c>
      <c r="K68" s="3" t="inlineStr">
        <is>
          <t>2018–2022: p. 24</t>
        </is>
      </c>
      <c r="L68" s="3" t="inlineStr">
        <is>
          <t>reconocimiento-de-museos-y-centros-de-ciencia</t>
        </is>
      </c>
    </row>
    <row r="69">
      <c r="A69" s="3" t="inlineStr">
        <is>
          <t>Estrategia de comunicación pública 'Todo es Ciencia'</t>
        </is>
      </c>
      <c r="B69" s="3" t="inlineStr">
        <is>
          <t>nodalidad</t>
        </is>
      </c>
      <c r="C69" s="3" t="inlineStr">
        <is>
          <t>deriva</t>
        </is>
      </c>
      <c r="D69" s="3" t="inlineStr">
        <is>
          <t>logrado</t>
        </is>
      </c>
      <c r="E69" s="3" t="inlineStr">
        <is>
          <t>pendiente</t>
        </is>
      </c>
      <c r="F69" s="3" t="inlineStr">
        <is>
          <t>Apropiación social del conocimiento; Ciencia abierta</t>
        </is>
      </c>
      <c r="G69" s="3" t="inlineStr">
        <is>
          <t>Ministerio de Ciencia, Tecnología e Innovación (MinCiencias); Ministerio de Ciencia, Tecnología e Innovación; Viceministerio de Talento y Apropiación Social del Conocimiento</t>
        </is>
      </c>
      <c r="H69" s="3" t="inlineStr">
        <is>
          <t>La estrategia como programa activo con metas y resultados no se reporta en 2022-2026; solo persiste como plataforma/sistema de información heredado, lo que indica terminación funcional de la estrategia de comunicación bajo ese nombre.</t>
        </is>
      </c>
      <c r="I69" s="3" t="inlineStr">
        <is>
          <t>Bajo Duque, 'Todo es Ciencia' fue la estrategia central de comunicación pública y divulgación científica, con 24 espacios de interacción, 33 alianzas y 15 productos comunicativos en 2021.</t>
        </is>
      </c>
      <c r="J69" s="3" t="inlineStr">
        <is>
          <t>El nombre 'Todo es Ciencia' aparece solo residualmente en el catálogo de sistemas de información del informe 2022-2026 (como sitio web heredado que muestra programas como 'a ciencia cierta', 'ideas para el cambio', 'centros de ciencia'), sin reporte de resultados o continuidad como estrategia activa del nuevo gobierno.</t>
        </is>
      </c>
      <c r="K69" s="3" t="inlineStr">
        <is>
          <t>2018–2022: p. 24, 25</t>
        </is>
      </c>
      <c r="L69" s="3" t="inlineStr">
        <is>
          <t>estrategia-de-comunicacion-publica-todo-es-ciencia</t>
        </is>
      </c>
    </row>
    <row r="70">
      <c r="A70" s="3" t="inlineStr">
        <is>
          <t>Red Colombiana de Información Científica (RedCol)</t>
        </is>
      </c>
      <c r="B70" s="3" t="inlineStr">
        <is>
          <t>nodalidad</t>
        </is>
      </c>
      <c r="C70" s="3" t="inlineStr">
        <is>
          <t>continuidad estable</t>
        </is>
      </c>
      <c r="D70" s="3" t="inlineStr">
        <is>
          <t>logrado</t>
        </is>
      </c>
      <c r="E70" s="3" t="inlineStr">
        <is>
          <t>logrado</t>
        </is>
      </c>
      <c r="F70" s="3" t="inlineStr">
        <is>
          <t>Apropiación social del conocimiento; Ciencia abierta</t>
        </is>
      </c>
      <c r="G70" s="3" t="inlineStr">
        <is>
          <t>Ministerio de Ciencia, Tecnología e Innovación (MinCiencias); Metabiblioteca S.A.S.; Ministerio de Ciencia, Tecnología e Innovación; Oficina de Tecnología y Sistemas de Información (OTSI)</t>
        </is>
      </c>
      <c r="H70" s="3" t="inlineStr">
        <is>
          <t>El instrumento se mantiene con la misma lógica de nodo nacional de información científica; se profundiza su articulación con la política de Ciencia Abierta formalizada en 2022.</t>
        </is>
      </c>
      <c r="I70" s="3" t="inlineStr">
        <is>
          <t>Bajo Duque se estableció la RCIC como nodo nacional para consolidar y visibilizar la producción científica del país y participar en redes internacionales de Ciencia Abierta, con avances en lineamientos de acceso abierto y datos de investigación abiertos.</t>
        </is>
      </c>
      <c r="J70" s="3" t="inlineStr">
        <is>
          <t>En 2022-2026 la Red persiste como sistema de información (Portal E-ANAQUEL/DSPACE) listado en el catálogo institucional, vinculada ahora explícitamente a la Política de Ciencia Abierta, manteniendo su función de nodo de información científica.</t>
        </is>
      </c>
      <c r="K70" s="3" t="inlineStr">
        <is>
          <t>2018–2022: p. 24, 25</t>
        </is>
      </c>
      <c r="L70" s="3" t="inlineStr">
        <is>
          <t>red-colombiana-de-informacion-cientifica-redcol</t>
        </is>
      </c>
    </row>
    <row r="71">
      <c r="A71" s="3" t="inlineStr">
        <is>
          <t>Convocatorias de apropiación social del conocimiento (organizaciones comunitarias, pescadores, víctimas)</t>
        </is>
      </c>
      <c r="B71" s="3" t="inlineStr">
        <is>
          <t>tesoro</t>
        </is>
      </c>
      <c r="C71" s="3" t="inlineStr">
        <is>
          <t>estratificación</t>
        </is>
      </c>
      <c r="D71" s="3" t="inlineStr">
        <is>
          <t>—</t>
        </is>
      </c>
      <c r="E71" s="3" t="inlineStr">
        <is>
          <t>logrado</t>
        </is>
      </c>
      <c r="F71" s="3" t="inlineStr">
        <is>
          <t>Apropiación social del conocimiento</t>
        </is>
      </c>
      <c r="G71" s="3" t="inlineStr">
        <is>
          <t>Ministerio de Ciencia, Tecnología e Innovación (MinCiencias)</t>
        </is>
      </c>
      <c r="H71" s="3" t="inlineStr">
        <is>
          <t>Es una capa nueva (estratificación) que se añade sobre la lógica previa de apropiación social: introduce una focalización poblacional explícita (víctimas, pescadores, mujeres, agricultores) ausente en el diseño 2018-2022.</t>
        </is>
      </c>
      <c r="I71" s="3" t="inlineStr">
        <is>
          <t>No existe un antecedente directo bajo Duque de convocatorias focalizadas explícitamente en organizaciones comunitarias, pequeños agricultores, pescadores y víctimas; el antecedente más cercano son las convocatorias 16 y 20 del SGR para apropiación social del conocimiento en los territorios (2021), de alcance más genérico y sin focalización poblacional explícita en víctimas o pescadores.</t>
        </is>
      </c>
      <c r="J71" s="3" t="inlineStr">
        <is>
          <t>Bajo Petro se crea una línea nueva y explícitamente focalizada: convocatorias por más de $6.000 millones dirigidas a organizaciones comunitarias, pequeños agricultores, pescadores, mujeres víctimas de violencia y víctimas del conflicto armado, enmarcadas en el principio de 'comunidades como generadoras de conocimiento'.</t>
        </is>
      </c>
      <c r="K71" s="3" t="inlineStr">
        <is>
          <t>2022–2026: p. 18</t>
        </is>
      </c>
      <c r="L71" s="3" t="inlineStr">
        <is>
          <t>convocatorias-de-apropiacion-social-del-conocimiento-organizaciones-comunitarias-pescadores-victimas</t>
        </is>
      </c>
    </row>
    <row r="72">
      <c r="A72" s="3" t="inlineStr">
        <is>
          <t>Laboratorios STEAM (Colombia Robótica)</t>
        </is>
      </c>
      <c r="B72" s="3" t="inlineStr">
        <is>
          <t>organización</t>
        </is>
      </c>
      <c r="C72" s="3" t="inlineStr">
        <is>
          <t>estratificación</t>
        </is>
      </c>
      <c r="D72" s="3" t="inlineStr">
        <is>
          <t>—</t>
        </is>
      </c>
      <c r="E72" s="3" t="inlineStr">
        <is>
          <t>logrado</t>
        </is>
      </c>
      <c r="F72" s="3" t="inlineStr">
        <is>
          <t>Apropiación social del conocimiento</t>
        </is>
      </c>
      <c r="G72" s="3" t="inlineStr">
        <is>
          <t>Ministerio de Ciencia, Tecnología e Innovación (MinCiencias)</t>
        </is>
      </c>
      <c r="H72" s="3" t="inlineStr">
        <is>
          <t>Instrumento nuevo (estratificación) que añade infraestructura física de aprendizaje STEAM territorial, ausente en el diseño de ASC de 2018-2022, articulado con el Programa Ondas preexistente.</t>
        </is>
      </c>
      <c r="I72" s="3" t="inlineStr">
        <is>
          <t>No existe antecedente de laboratorios STEAM como tal bajo Duque; el equivalente más cercano en materia de vocaciones científicas fue el Programa Ondas, ya preexistente desde antes de este gobierno.</t>
        </is>
      </c>
      <c r="J72" s="3" t="inlineStr">
        <is>
          <t>Bajo Petro se despliega el Programa Colombia Robótica con entrega de 41 laboratorios STEAM en distintas regiones, beneficiando a 8.824 niñas, niños y adolescentes y 757 docentes, con foco explícito en cierre de brechas digitales y territorios excluidos (incluye focalización NARP).</t>
        </is>
      </c>
      <c r="K72" s="3" t="inlineStr">
        <is>
          <t>2022–2026: p. 43, 62</t>
        </is>
      </c>
      <c r="L72" s="3" t="inlineStr">
        <is>
          <t>laboratorios-steam-colombia-robotica</t>
        </is>
      </c>
    </row>
    <row r="73">
      <c r="A73" s="3" t="inlineStr">
        <is>
          <t>ScienTI (CvLAC / GrupLAC / InstituLAC)</t>
        </is>
      </c>
      <c r="B73" s="3" t="inlineStr">
        <is>
          <t>nodalidad</t>
        </is>
      </c>
      <c r="C73" s="3" t="inlineStr">
        <is>
          <t>continuidad estable</t>
        </is>
      </c>
      <c r="D73" s="3" t="inlineStr">
        <is>
          <t>logrado</t>
        </is>
      </c>
      <c r="E73" s="3" t="inlineStr">
        <is>
          <t>logrado</t>
        </is>
      </c>
      <c r="F73" s="3" t="inlineStr">
        <is>
          <t>Ciencia abierta; Gobernanza del sistema de CTeI; Orientación estratégica de la CTeI; Beneficios tributarios para CTeI</t>
        </is>
      </c>
      <c r="G73" s="3" t="inlineStr">
        <is>
          <t>Ministerio de Ciencia, Tecnología e Innovación; Oficina de Tecnología y Sistemas de Información (OTSI)</t>
        </is>
      </c>
      <c r="H73" s="3" t="inlineStr">
        <is>
          <t>Continuidad estable: mismo sistema, misma lógica de registro y acceso abierto a información sobre investigadores y grupos, sin cambios sustanciales de escala o enfoque entre los dos gobiernos.</t>
        </is>
      </c>
      <c r="I73" s="3" t="inlineStr">
        <is>
          <t>La plataforma ScienTI (CvLAC, GrupLAC, InstituLAC) ya operaba como infraestructura básica de información científica del país durante el gobierno Duque, sosteniendo el registro de investigadores, grupos e instituciones.</t>
        </is>
      </c>
      <c r="J73" s="3" t="inlineStr">
        <is>
          <t>Bajo Petro se mantiene como sistema misional central, expresamente identificado como 'instrumento para el libre acceso a la información' (herramienta Ciencia y Tecnología para Todos) y como infraestructura que sostiene, junto con SIGP, la gestión del conocimiento del ecosistema de CTeI.</t>
        </is>
      </c>
      <c r="K73" s="3" t="inlineStr"/>
      <c r="L73" s="3" t="inlineStr">
        <is>
          <t>scienti-cvlac-gruplac-institulac</t>
        </is>
      </c>
    </row>
    <row r="74">
      <c r="A74" s="3" t="inlineStr">
        <is>
          <t>Nodos de Diplomacia Científica (Embajadas)</t>
        </is>
      </c>
      <c r="B74" s="3" t="inlineStr">
        <is>
          <t>organización</t>
        </is>
      </c>
      <c r="C74" s="3" t="inlineStr">
        <is>
          <t>terminación</t>
        </is>
      </c>
      <c r="D74" s="3" t="inlineStr">
        <is>
          <t>logrado</t>
        </is>
      </c>
      <c r="E74" s="3" t="inlineStr">
        <is>
          <t>—</t>
        </is>
      </c>
      <c r="F74" s="3" t="inlineStr">
        <is>
          <t>Internacionalización y diplomacia científica</t>
        </is>
      </c>
      <c r="G74" s="3" t="inlineStr">
        <is>
          <t>Ministerio de Ciencia, Tecnología e Innovación (Minciencias); Ministerio de Relaciones Exteriores (Cancillería); Embajadas de Colombia en Alemania, Brasil, Corea, España, Estados Unidos, Francia, India, Israel y Suiza</t>
        </is>
      </c>
      <c r="H74" s="3" t="inlineStr">
        <is>
          <t>El instrumento piloto de nodos embajada-por-embajada no continúa como tal; es sustituido por una arquitectura distinta (escritorios bilaterales/multilaterales) que reorganiza la función de diplomacia científica.</t>
        </is>
      </c>
      <c r="I74" s="3" t="inlineStr">
        <is>
          <t>Bajo Duque se creó un programa piloto de nodos de diplomacia científica en 9 embajadas (acta de intención Minciencias-Cancillería en 2021), en una primera etapa de acuerdo e intención sin puesta en marcha efectiva de los planes de trabajo.</t>
        </is>
      </c>
      <c r="J74" s="3" t="inlineStr">
        <is>
          <t>El informe 2022-2026 no retoma el instrumento 'nodos de diplomacia científica' por nombre; la diplomacia científica se reorganiza en torno a Escritorios de Asuntos Bilaterales y Multilaterales, membresías multilaterales (CELAC, CEPAL, SCAR) y MoU bilaterales directos.</t>
        </is>
      </c>
      <c r="K74" s="3" t="inlineStr">
        <is>
          <t>2018–2022: p. 26, 27</t>
        </is>
      </c>
      <c r="L74" s="3" t="inlineStr">
        <is>
          <t>nodos-de-diplomacia-cientifica-embajadas</t>
        </is>
      </c>
    </row>
    <row r="75">
      <c r="A75" s="3" t="inlineStr">
        <is>
          <t>Modelos Cienciométricos</t>
        </is>
      </c>
      <c r="B75" s="3" t="inlineStr">
        <is>
          <t>nodalidad</t>
        </is>
      </c>
      <c r="C75" s="3" t="inlineStr">
        <is>
          <t>terminación</t>
        </is>
      </c>
      <c r="D75" s="3" t="inlineStr">
        <is>
          <t>logrado</t>
        </is>
      </c>
      <c r="E75" s="3" t="inlineStr">
        <is>
          <t>—</t>
        </is>
      </c>
      <c r="F75" s="3" t="inlineStr">
        <is>
          <t>Internacionalización y diplomacia científica</t>
        </is>
      </c>
      <c r="G75" s="3" t="inlineStr">
        <is>
          <t>Ministerio de Ciencia, Tecnología e Innovación (Minciencias)</t>
        </is>
      </c>
      <c r="H75" s="3" t="inlineStr">
        <is>
          <t>El instrumento de medición cienciométrica del cuatrienio anterior no se retoma explícitamente como línea de trabajo en el nuevo informe.</t>
        </is>
      </c>
      <c r="I75" s="3" t="inlineStr">
        <is>
          <t>Bajo Duque se mantuvo permanentemente el desarrollo de modelos cienciométricos (índice de citaciones de impacto, conteo de artículos publicados) para caracterizar la dinámica del SNCTI y su posicionamiento internacional.</t>
        </is>
      </c>
      <c r="J75" s="3" t="inlineStr">
        <is>
          <t>El informe de empalme 2022-2026 no menciona 'modelos cienciométricos' como instrumento propio dentro de diplomacia científica y cooperación internacional; el foco pasa a instrumentos de gestión de relaciones (MoU, membresías) más que de medición cienciométrica.</t>
        </is>
      </c>
      <c r="K75" s="3" t="inlineStr">
        <is>
          <t>2018–2022: p. 26, 27</t>
        </is>
      </c>
      <c r="L75" s="3" t="inlineStr">
        <is>
          <t>modelos-cienciometricos</t>
        </is>
      </c>
    </row>
    <row r="76">
      <c r="A76" s="3" t="inlineStr">
        <is>
          <t>Memorandos de Entendimiento (MoU) y alianzas bilaterales de cooperación científica</t>
        </is>
      </c>
      <c r="B76" s="3" t="inlineStr">
        <is>
          <t>autoridad</t>
        </is>
      </c>
      <c r="C76" s="3" t="inlineStr">
        <is>
          <t>conversión</t>
        </is>
      </c>
      <c r="D76" s="3" t="inlineStr">
        <is>
          <t>logrado</t>
        </is>
      </c>
      <c r="E76" s="3" t="inlineStr">
        <is>
          <t>logrado</t>
        </is>
      </c>
      <c r="F76" s="3" t="inlineStr">
        <is>
          <t>Internacionalización y diplomacia científica; Inteligencia artificial</t>
        </is>
      </c>
      <c r="G76" s="3" t="inlineStr">
        <is>
          <t>Ministerio de Ciencia, Tecnología e Innovación (Minciencias); Cancillería de Colombia; Comisión Europea; MIT Environmental Solutions Initiative; OEI; Fondo Francisco José de Caldas; Universidad Nacional; Embajada de Francia; Gobierno de India; CNPq de Brasil; Instituto de Ambiente de Estocolmo; Ministerio de Ciencia y TIC de Corea del Sur; CERN; Ministerio de Ciencia y Tecnología de China (MOST); Universidad de Magallanes (Chile); KTH Suecia; Departamento de Educación, Ciencia, Tecnología e Innovación de la Comisión de la Unión Africana; PRESIGHT AI LTD (Emiratos Árabes Unidos); PNUD</t>
        </is>
      </c>
      <c r="H76" s="3" t="inlineStr">
        <is>
          <t>El mecanismo de MoU/alianzas bilaterales es el mismo instrumento a través de ambos gobiernos (continuidad de forma), pero se estratifica: el segundo gobierno agrega un eje temático nuevo y explícito (IA, cuántica, bioeconomía) y una sistematización tabular anual que no existía antes, ampliando su alcance sin reemplazar la lógica original de generación de alianzas.</t>
        </is>
      </c>
      <c r="I76" s="3" t="inlineStr">
        <is>
          <t>Bajo Duque, en 2021 se suscribieron o gestionaron 14 alianzas/instrumentos de cooperación bilateral y multilateral (Comisión Europea, MIT, OEI, Fondo Caldas, India, Brasil, Suecia, Corea, CERN, entre otros), superando la meta de 10 prevista para el año.</t>
        </is>
      </c>
      <c r="J76" s="3" t="inlineStr">
        <is>
          <t>Bajo Petro, el instrumento se amplía y sistematiza en una 'Tabla de Relación de Instrumentos' anual (2023-2026) con nuevos MoU firmados o en trámite con China (2), Australia, Suecia, Chile, India (4 en preparación), Corea, PNUD, Türkiye, Sudáfrica y Emiratos Árabes Unidos, con foco explícito en IA y ciencias cuánticas.</t>
        </is>
      </c>
      <c r="K76" s="3" t="inlineStr">
        <is>
          <t>2018–2022: p. 28; 2022–2026: p. 51, 52</t>
        </is>
      </c>
      <c r="L76" s="3" t="inlineStr">
        <is>
          <t>memorandos-de-entendimiento-mou-y-alianzas-bilaterales-de-cooperacion-cientifica</t>
        </is>
      </c>
    </row>
    <row r="77">
      <c r="A77" s="3" t="inlineStr">
        <is>
          <t>Presidencia Pro Tempore CELAC en Ciencia y Cumbre UE-CELAC</t>
        </is>
      </c>
      <c r="B77" s="3" t="inlineStr">
        <is>
          <t>nodalidad</t>
        </is>
      </c>
      <c r="C77" s="3" t="inlineStr">
        <is>
          <t>estratificación</t>
        </is>
      </c>
      <c r="D77" s="3" t="inlineStr">
        <is>
          <t>—</t>
        </is>
      </c>
      <c r="E77" s="3" t="inlineStr">
        <is>
          <t>logrado</t>
        </is>
      </c>
      <c r="F77" s="3" t="inlineStr">
        <is>
          <t>Internacionalización y diplomacia científica</t>
        </is>
      </c>
      <c r="G77" s="3" t="inlineStr">
        <is>
          <t>Ministerio de Ciencia, Tecnología e Innovación (Minciencias); CELAC; Unión Europea</t>
        </is>
      </c>
      <c r="H77" s="3" t="inlineStr">
        <is>
          <t>Instrumento nuevo del segundo gobierno, sin antecedente directo en 2018-2022; representa un salto de escala en el posicionamiento multilateral de Colombia en ciencia.</t>
        </is>
      </c>
      <c r="I77" s="3" t="inlineStr"/>
      <c r="J77" s="3" t="inlineStr">
        <is>
          <t>Bajo Petro, Colombia asumió la Presidencia Pro Tempore de la CELAC y lideró la primera Cumbre Ministerial UE-CELAC en Ciencia (Bruselas, sep. 2025), adoptando la Declaración Ministerial y la Nueva Agenda de Cooperación en Investigación e Innovación 2025-2027, con co-liderazgo de Colombia en los grupos de trabajo de IA y Cambio Climático.</t>
        </is>
      </c>
      <c r="K77" s="3" t="inlineStr">
        <is>
          <t>2022–2026: p. 51</t>
        </is>
      </c>
      <c r="L77" s="3" t="inlineStr">
        <is>
          <t>presidencia-pro-tempore-celac-en-ciencia-y-cumbre-ue-celac</t>
        </is>
      </c>
    </row>
    <row r="78">
      <c r="A78" s="3" t="inlineStr">
        <is>
          <t>Presidencia de la Conferencia de Ciencia, Innovación y TIC de la CEPAL</t>
        </is>
      </c>
      <c r="B78" s="3" t="inlineStr">
        <is>
          <t>nodalidad</t>
        </is>
      </c>
      <c r="C78" s="3" t="inlineStr">
        <is>
          <t>estratificación</t>
        </is>
      </c>
      <c r="D78" s="3" t="inlineStr">
        <is>
          <t>—</t>
        </is>
      </c>
      <c r="E78" s="3" t="inlineStr">
        <is>
          <t>logrado</t>
        </is>
      </c>
      <c r="F78" s="3" t="inlineStr">
        <is>
          <t>Internacionalización y diplomacia científica</t>
        </is>
      </c>
      <c r="G78" s="3" t="inlineStr">
        <is>
          <t>Ministerio de Ciencia, Tecnología e Innovación (Minciencias); CEPAL</t>
        </is>
      </c>
      <c r="H78" s="3" t="inlineStr">
        <is>
          <t>Instrumento nuevo del segundo gobierno; no existe antecedente en el informe 2018-2022.</t>
        </is>
      </c>
      <c r="I78" s="3" t="inlineStr"/>
      <c r="J78" s="3" t="inlineStr">
        <is>
          <t>Colombia asumió en 2024 la presidencia de la IV Conferencia de Ciencia, Innovación y TIC de la CEPAL por dos años, liderando cuatro grupos de trabajo regionales en instrumentos de política, gobernanza, enfoque territorial y agendas sectoriales.</t>
        </is>
      </c>
      <c r="K78" s="3" t="inlineStr">
        <is>
          <t>2022–2026: p. 51</t>
        </is>
      </c>
      <c r="L78" s="3" t="inlineStr">
        <is>
          <t>presidencia-de-la-conferencia-de-ciencia-innovacion-y-tic-de-la-cepal</t>
        </is>
      </c>
    </row>
    <row r="79">
      <c r="A79" s="3" t="inlineStr">
        <is>
          <t>Foro CILAC</t>
        </is>
      </c>
      <c r="B79" s="3" t="inlineStr">
        <is>
          <t>nodalidad</t>
        </is>
      </c>
      <c r="C79" s="3" t="inlineStr">
        <is>
          <t>estratificación</t>
        </is>
      </c>
      <c r="D79" s="3" t="inlineStr">
        <is>
          <t>—</t>
        </is>
      </c>
      <c r="E79" s="3" t="inlineStr">
        <is>
          <t>logrado</t>
        </is>
      </c>
      <c r="F79" s="3" t="inlineStr">
        <is>
          <t>Internacionalización y diplomacia científica</t>
        </is>
      </c>
      <c r="G79" s="3" t="inlineStr">
        <is>
          <t>Ministerio de Ciencia, Tecnología e Innovación (Minciencias); Cancillería de Colombia; UNESCO; Gobernación del Archipiélago de San Andrés, Providencia y Santa Catalina</t>
        </is>
      </c>
      <c r="H79" s="3" t="inlineStr">
        <is>
          <t>Instrumento nuevo del segundo gobierno; sin antecedente en 2018-2022.</t>
        </is>
      </c>
      <c r="I79" s="3" t="inlineStr"/>
      <c r="J79" s="3" t="inlineStr">
        <is>
          <t>Colombia organizó la IV edición del Foro CILAC en San Andrés (2024), con más de 3.350 participantes de 46 países, consolidando al país como referente regional en CTeI.</t>
        </is>
      </c>
      <c r="K79" s="3" t="inlineStr">
        <is>
          <t>2022–2026: p. 51</t>
        </is>
      </c>
      <c r="L79" s="3" t="inlineStr">
        <is>
          <t>foro-cilac</t>
        </is>
      </c>
    </row>
    <row r="80">
      <c r="A80" s="3" t="inlineStr">
        <is>
          <t>Membresía en SCAR (Antártida)</t>
        </is>
      </c>
      <c r="B80" s="3" t="inlineStr">
        <is>
          <t>nodalidad</t>
        </is>
      </c>
      <c r="C80" s="3" t="inlineStr">
        <is>
          <t>estratificación</t>
        </is>
      </c>
      <c r="D80" s="3" t="inlineStr">
        <is>
          <t>—</t>
        </is>
      </c>
      <c r="E80" s="3" t="inlineStr">
        <is>
          <t>logrado</t>
        </is>
      </c>
      <c r="F80" s="3" t="inlineStr">
        <is>
          <t>Internacionalización y diplomacia científica</t>
        </is>
      </c>
      <c r="G80" s="3" t="inlineStr">
        <is>
          <t>Ministerio de Ciencia, Tecnología e Innovación (Minciencias); Programa Antártico Colombiano (PAC); SCAR</t>
        </is>
      </c>
      <c r="H80" s="3" t="inlineStr">
        <is>
          <t>Instrumento nuevo del segundo gobierno; sin antecedente en el informe 2018-2022 (que no menciona la Antártida).</t>
        </is>
      </c>
      <c r="I80" s="3" t="inlineStr"/>
      <c r="J80" s="3" t="inlineStr">
        <is>
          <t>Colombia fue admitida como miembro pleno del SCAR, comité científico internacional de investigación antártica, hito alcanzado en enero de 2025 en el marco de la XI Expedición Científica Antártica.</t>
        </is>
      </c>
      <c r="K80" s="3" t="inlineStr">
        <is>
          <t>2022–2026: p. 52</t>
        </is>
      </c>
      <c r="L80" s="3" t="inlineStr">
        <is>
          <t>membresia-en-scar-antartida</t>
        </is>
      </c>
    </row>
    <row r="81">
      <c r="A81" s="3" t="inlineStr">
        <is>
          <t>Programa Antártico Colombiano (PAC)</t>
        </is>
      </c>
      <c r="B81" s="3" t="inlineStr">
        <is>
          <t>organización</t>
        </is>
      </c>
      <c r="C81" s="3" t="inlineStr">
        <is>
          <t>estratificación</t>
        </is>
      </c>
      <c r="D81" s="3" t="inlineStr">
        <is>
          <t>—</t>
        </is>
      </c>
      <c r="E81" s="3" t="inlineStr">
        <is>
          <t>logrado</t>
        </is>
      </c>
      <c r="F81" s="3" t="inlineStr">
        <is>
          <t>Internacionalización y diplomacia científica; Bioeconomía</t>
        </is>
      </c>
      <c r="G81" s="3" t="inlineStr">
        <is>
          <t>Ministerio de Ciencia, Tecnología e Innovación (Minciencias); Comisión Colombiana del Océano; Fuerza Aeroespacial Colombiana; Universidad Industrial de Santander; Universidad del Tolima; Cornell University</t>
        </is>
      </c>
      <c r="H81" s="3" t="inlineStr">
        <is>
          <t>Instrumento nuevo/reforzado en el segundo gobierno; el informe 2018-2022 no reporta actividad antártica dentro de esta política.</t>
        </is>
      </c>
      <c r="I81" s="3" t="inlineStr"/>
      <c r="J81" s="3" t="inlineStr">
        <is>
          <t>Bajo Petro se prioriza el fortalecimiento de la investigación antártica: participación ministerial en la XI Expedición Antártica (enero 2025), actualización de la Agenda Científica Antártica a 2035, y postulación de Colombia como Miembro Consultivo del Tratado Antártico (definición en 2027).</t>
        </is>
      </c>
      <c r="K81" s="3" t="inlineStr">
        <is>
          <t>2022–2026: p. 52, 111</t>
        </is>
      </c>
      <c r="L81" s="3" t="inlineStr">
        <is>
          <t>programa-antartico-colombiano-pac</t>
        </is>
      </c>
    </row>
    <row r="82">
      <c r="A82" s="3" t="inlineStr">
        <is>
          <t>Concurso de Movilidad Académica Internacional Sur-Sur (África)</t>
        </is>
      </c>
      <c r="B82" s="3" t="inlineStr">
        <is>
          <t>tesoro</t>
        </is>
      </c>
      <c r="C82" s="3" t="inlineStr">
        <is>
          <t>estratificación</t>
        </is>
      </c>
      <c r="D82" s="3" t="inlineStr">
        <is>
          <t>—</t>
        </is>
      </c>
      <c r="E82" s="3" t="inlineStr">
        <is>
          <t>logrado</t>
        </is>
      </c>
      <c r="F82" s="3" t="inlineStr">
        <is>
          <t>Internacionalización y diplomacia científica; Talento humano y capacidades regionales</t>
        </is>
      </c>
      <c r="G82" s="3" t="inlineStr">
        <is>
          <t>Ministerio de Ciencia, Tecnología e Innovación (Minciencias); Universidad Panafricana (PAULESI Nigeria, PAUSTI Kenia); Programa Orquídeas</t>
        </is>
      </c>
      <c r="H82" s="3" t="inlineStr">
        <is>
          <t>Instrumento nuevo del segundo gobierno; no existe antecedente comparable en 2018-2022.</t>
        </is>
      </c>
      <c r="I82" s="3" t="inlineStr"/>
      <c r="J82" s="3" t="inlineStr">
        <is>
          <t>Primer concurso de movilidad académica Sur-Sur con enfoque de género, dirigido a 40 mujeres científicas beneficiarias del Programa Orquídeas, con estancias en Kenia (PAUSTI) y Nigeria (PAULESI) en 2026.</t>
        </is>
      </c>
      <c r="K82" s="3" t="inlineStr">
        <is>
          <t>2022–2026: p. 3, 4, 5</t>
        </is>
      </c>
      <c r="L82" s="3" t="inlineStr">
        <is>
          <t>concurso-de-movilidad-academica-internacional-sur-sur-africa</t>
        </is>
      </c>
    </row>
    <row r="83">
      <c r="A83" s="3" t="inlineStr">
        <is>
          <t>Decreto 1450/1449 de 2022 (nueva organización administrativa del Ministerio)</t>
        </is>
      </c>
      <c r="B83" s="3" t="inlineStr">
        <is>
          <t>organización</t>
        </is>
      </c>
      <c r="C83" s="3" t="inlineStr">
        <is>
          <t>estratificación</t>
        </is>
      </c>
      <c r="D83" s="3" t="inlineStr">
        <is>
          <t>—</t>
        </is>
      </c>
      <c r="E83" s="3" t="inlineStr">
        <is>
          <t>logrado</t>
        </is>
      </c>
      <c r="F83" s="3" t="inlineStr">
        <is>
          <t>Gobernanza del sistema de CTeI</t>
        </is>
      </c>
      <c r="G83" s="3" t="inlineStr">
        <is>
          <t>Ministerio de Ciencia, Tecnología e Innovación; Departamento Administrativo de la Función Pública; Presidencia de la República</t>
        </is>
      </c>
      <c r="H83" s="3" t="inlineStr">
        <is>
          <t>Instrumento nuevo que aparece únicamente en el periodo 2022-2026 para operacionalizar la transformación institucional decidida por la Ley 2162 de 2021: no tiene antecedente directo en 2018-2022 (los decretos anteriores, 2226/2227 de 2019, fueron declarados inexequibles).</t>
        </is>
      </c>
      <c r="I83" s="3" t="inlineStr"/>
      <c r="J83" s="3" t="inlineStr">
        <is>
          <t>En agosto de 2022 (ya bajo el nuevo gobierno, formalizando la transición iniciada con la Ley 2162 de 2021 sancionada por Duque) se expidieron el Decreto 1449 (estructura orgánica) y el Decreto 1450 (planta de personal), completando la puesta en marcha operativa del Ministerio: dos viceministerios, una secretaría general, oficinas asesoras y direcciones misionales.</t>
        </is>
      </c>
      <c r="K83" s="3" t="inlineStr">
        <is>
          <t>2022–2026: p. 8, 9, 54</t>
        </is>
      </c>
      <c r="L83" s="3" t="inlineStr">
        <is>
          <t>decreto-1450-1449-de-2022-nueva-organizacion-administrativa-del-ministerio</t>
        </is>
      </c>
    </row>
    <row r="84">
      <c r="A84" s="3" t="inlineStr">
        <is>
          <t>Cupo de inversión para deducción y descuento tributario en CTeI (2018-2022, precursor)</t>
        </is>
      </c>
      <c r="B84" s="3" t="inlineStr">
        <is>
          <t>tesoro</t>
        </is>
      </c>
      <c r="C84" s="3" t="inlineStr">
        <is>
          <t>conversión</t>
        </is>
      </c>
      <c r="D84" s="3" t="inlineStr">
        <is>
          <t>logrado</t>
        </is>
      </c>
      <c r="E84" s="3" t="inlineStr">
        <is>
          <t>logrado</t>
        </is>
      </c>
      <c r="F84" s="3" t="inlineStr">
        <is>
          <t>Innovación empresarial y sofisticación productiva; Beneficios tributarios para CTeI</t>
        </is>
      </c>
      <c r="G84" s="3" t="inlineStr">
        <is>
          <t>MinCiencias; Consejo Nacional de Beneficios Tributarios (CNBT); CONFIS</t>
        </is>
      </c>
      <c r="H84" s="3" t="inlineStr">
        <is>
          <t>Mismo instrumento tributario (autoridad/tesoro) y mismas convocatorias formales, pero el criterio de asignación cambió explícitamente de lógica puramente empresarial/industrial a priorización por Misiones y cierre de brechas territoriales: es una conversión declarada por el propio informe de empalme.</t>
        </is>
      </c>
      <c r="I84" s="3" t="inlineStr">
        <is>
          <t>Bajo Duque, el cupo de deducción/descuento tributario fue el instrumento tesoro central de la sofisticación productiva: $4.4 billones asignados 2019-2021 (92% de la meta PND de $4.8 billones), beneficiando 495 empresas, con lógica explícitamente empresarial e industrial para incentivar inversión privada en I+D+i.</t>
        </is>
      </c>
      <c r="J84" s="3" t="inlineStr">
        <is>
          <t>Bajo Petro continuó como Programa de Beneficios Tributarios (convocatorias 913, 944, 955, 968, 970), con 2.221 proyectos aprobados 2022-2026, pero el Ministerio declara haber transformado el enfoque hacia beneficio social y equidad regional, priorizando soberanía alimentaria, transición energética y municipios PDET/baja capacidad científica mediante puntajes adicionales.</t>
        </is>
      </c>
      <c r="K84" s="3" t="inlineStr">
        <is>
          <t>2018–2022: p. 33, 34, 35; 2022–2026: p. 46, 47, 48, 49, 50</t>
        </is>
      </c>
      <c r="L84" s="3" t="inlineStr">
        <is>
          <t>cupo-de-inversion-para-deduccion-y-descuento-tributario-en-ctei-2018-2022-precursor</t>
        </is>
      </c>
    </row>
    <row r="85">
      <c r="A85" s="3" t="inlineStr">
        <is>
          <t>Pactos por la Innovación</t>
        </is>
      </c>
      <c r="B85" s="3" t="inlineStr">
        <is>
          <t>organización</t>
        </is>
      </c>
      <c r="C85" s="3" t="inlineStr">
        <is>
          <t>terminación</t>
        </is>
      </c>
      <c r="D85" s="3" t="inlineStr">
        <is>
          <t>logrado</t>
        </is>
      </c>
      <c r="E85" s="3" t="inlineStr">
        <is>
          <t>—</t>
        </is>
      </c>
      <c r="F85" s="3" t="inlineStr">
        <is>
          <t>Innovación empresarial y sofisticación productiva</t>
        </is>
      </c>
      <c r="G85" s="3" t="inlineStr">
        <is>
          <t>MinCiencias; Confecámaras; ACOPI; Cámaras de Comercio regionales (Barranquilla, Bucaramanga, Cúcuta, Manizales, Cartagena, Santa Marta, Pasto, Villavicencio, Buenaventura, Tumaco, Ibagué)</t>
        </is>
      </c>
      <c r="H85" s="3" t="inlineStr">
        <is>
          <t>El instrumento no fue relanzado ni mencionado como programa activo bajo el nuevo gobierno; solo persiste su infraestructura tecnológica residual, lo que evidencia terminación como política/programa (aunque el sistema informático que lo soportaba no fue formalmente desmontado).</t>
        </is>
      </c>
      <c r="I85" s="3" t="inlineStr">
        <is>
          <t>Bajo Duque, Pactos por la Innovación fue el instrumento de organización/nodalidad insignia para articular empresas con Cámaras de Comercio y gremios (Confecámaras, ACOPI): 1.900 organizaciones firmantes, 85% de la meta de cuatrienio, con autodiagnóstico y portafolio de beneficios.</t>
        </is>
      </c>
      <c r="J85" s="3" t="inlineStr">
        <is>
          <t>El informe de empalme 2022-2026 no presenta una sección programática propia sobre Pactos por la Innovación; el nombre solo sobrevive como referencia a un micrositio TI (Inveracti) y un sistema de información legado (ACOPI/Encuentro Nacional Pactos) en el inventario de activos de información del Ministerio, sin metas, cifras ni gestión reportada en el cuatrienio.</t>
        </is>
      </c>
      <c r="K85" s="3" t="inlineStr">
        <is>
          <t>2018–2022: p. 33, 35; 2022–2026: p. 113</t>
        </is>
      </c>
      <c r="L85" s="3" t="inlineStr">
        <is>
          <t>pactos-por-la-innovacion</t>
        </is>
      </c>
    </row>
    <row r="86">
      <c r="A86" s="3" t="inlineStr">
        <is>
          <t>Estrategia Nacional de Propiedad Intelectual (patentes PCT)</t>
        </is>
      </c>
      <c r="B86" s="3" t="inlineStr">
        <is>
          <t>nodalidad</t>
        </is>
      </c>
      <c r="C86" s="3" t="inlineStr">
        <is>
          <t>terminación</t>
        </is>
      </c>
      <c r="D86" s="3" t="inlineStr">
        <is>
          <t>logrado</t>
        </is>
      </c>
      <c r="E86" s="3" t="inlineStr">
        <is>
          <t>—</t>
        </is>
      </c>
      <c r="F86" s="3" t="inlineStr">
        <is>
          <t>Innovación empresarial y sofisticación productiva</t>
        </is>
      </c>
      <c r="G86" s="3" t="inlineStr">
        <is>
          <t>MinCiencias; Superintendencia de Industria y Comercio (SIC) - Oficina Nacional de Patentes</t>
        </is>
      </c>
      <c r="H86" s="3" t="inlineStr">
        <is>
          <t>Sin evidencia de continuidad, relanzamiento o mención en el informe 2022-2026: el instrumento aparenta terminación como línea de acción propia de MinCiencias en este periodo, al menos en lo reportado en el informe de empalme.</t>
        </is>
      </c>
      <c r="I86" s="3" t="inlineStr">
        <is>
          <t>Bajo Duque, la Estrategia Nacional de Propiedad Intelectual apoyaba la protección de invenciones vía nacional (SIC) e internacional (PCT), con 563 solicitudes de patente en 2021 y 74,24% de avance frente a la meta de cuatrienio (2.100 solicitudes), concentradas en Bogotá, Antioquia, Valle del Cauca y Santander.</t>
        </is>
      </c>
      <c r="J86" s="3" t="inlineStr">
        <is>
          <t>El informe de empalme 2022-2026 no reporta continuidad de esta estrategia ni indicadores de solicitudes de patentes o gestión PCT; no aparece mencionada como programa vigente del Ministerio.</t>
        </is>
      </c>
      <c r="K86" s="3" t="inlineStr">
        <is>
          <t>2018–2022: p. 33, 35, 36, 48</t>
        </is>
      </c>
      <c r="L86" s="3" t="inlineStr">
        <is>
          <t>estrategia-nacional-de-propiedad-intelectual-patentes-pct</t>
        </is>
      </c>
    </row>
    <row r="87">
      <c r="A87" s="3" t="inlineStr">
        <is>
          <t>Acuerdos de transferencia de tecnología o conocimiento</t>
        </is>
      </c>
      <c r="B87" s="3" t="inlineStr">
        <is>
          <t>organización</t>
        </is>
      </c>
      <c r="C87" s="3" t="inlineStr">
        <is>
          <t>terminación</t>
        </is>
      </c>
      <c r="D87" s="3" t="inlineStr">
        <is>
          <t>logrado</t>
        </is>
      </c>
      <c r="E87" s="3" t="inlineStr">
        <is>
          <t>—</t>
        </is>
      </c>
      <c r="F87" s="3" t="inlineStr">
        <is>
          <t>Innovación empresarial y sofisticación productiva</t>
        </is>
      </c>
      <c r="G87" s="3" t="inlineStr">
        <is>
          <t>MinCiencias (antes Colciencias)</t>
        </is>
      </c>
      <c r="H87" s="3" t="inlineStr">
        <is>
          <t>El instrumento específico de acuerdos de transferencia tecnológica para el sector productivo no tiene continuidad reportada como línea propia en 2022-2026; el concepto de 'transferencia de tecnología' se redespliega en otros contextos (cooperación internacional, biodiversidad) que no corresponden a la misma política.</t>
        </is>
      </c>
      <c r="I87" s="3" t="inlineStr">
        <is>
          <t>Bajo Duque, los acuerdos de transferencia de tecnología apoyados por Colciencias/MinCiencias alcanzaron 83,05% de la meta de cuatrienio (49 de 59 acuerdos), complementados por convocatorias de creación de empresas de base tecnológica (spin-off) con 16 propuestas apoyadas.</t>
        </is>
      </c>
      <c r="J87" s="3" t="inlineStr">
        <is>
          <t>El informe de empalme 2022-2026 no presenta un indicador ni programa específico rotulado como 'acuerdos de transferencia de tecnología' dentro de la política de sofisticación productiva; las menciones de transferencia de tecnología que sí aparecen se refieren a cooperación internacional (memorandos con India) y biodiversidad, no a este instrumento original.</t>
        </is>
      </c>
      <c r="K87" s="3" t="inlineStr">
        <is>
          <t>2018–2022: p. 33, 35, 48</t>
        </is>
      </c>
      <c r="L87" s="3" t="inlineStr">
        <is>
          <t>acuerdos-de-transferencia-de-tecnologia-o-conocimiento</t>
        </is>
      </c>
    </row>
    <row r="88">
      <c r="A88" s="3" t="inlineStr">
        <is>
          <t>Medición de la inversión privada en I+D como % del PIB</t>
        </is>
      </c>
      <c r="B88" s="3" t="inlineStr">
        <is>
          <t>nodalidad</t>
        </is>
      </c>
      <c r="C88" s="3" t="inlineStr">
        <is>
          <t>terminación</t>
        </is>
      </c>
      <c r="D88" s="3" t="inlineStr">
        <is>
          <t>pendiente</t>
        </is>
      </c>
      <c r="E88" s="3" t="inlineStr">
        <is>
          <t>—</t>
        </is>
      </c>
      <c r="F88" s="3" t="inlineStr">
        <is>
          <t>Innovación empresarial y sofisticación productiva</t>
        </is>
      </c>
      <c r="G88" s="3" t="inlineStr">
        <is>
          <t>MinCiencias; Observatorio Colombiano de Ciencia y Tecnología (OCyT); DANE; DNP</t>
        </is>
      </c>
      <c r="H88" s="3" t="inlineStr">
        <is>
          <t>Sin evidencia de continuidad de este indicador/instrumento de nodalidad en el informe 2022-2026 revisado; se interpreta como terminación de esta línea de medición específica dentro de esta política, aunque probablemente las mediciones agregadas de ACTI/I+D del país sigan existiendo bajo otras instancias (OCyT/DANE) no reportadas aquí.</t>
        </is>
      </c>
      <c r="I88" s="3" t="inlineStr">
        <is>
          <t>Bajo Duque, la medición de inversión privada en I+D (% del PIB) fue un indicador crítico con bajo cumplimiento (51,43% de la meta de cuatrienio), atribuido a efectos de pandemia sobre el PIB; se impulsó un nuevo mecanismo de medición liderado por DANE/OCyT/DNP siguiendo recomendaciones OCDE.</t>
        </is>
      </c>
      <c r="J88" s="3" t="inlineStr">
        <is>
          <t>El informe de empalme 2022-2026 no reporta continuidad explícita de este indicador de medición de inversión privada en I+D dentro de la política de sofisticación productiva; no hay evidencia de seguimiento a esta métrica específica en el nuevo periodo.</t>
        </is>
      </c>
      <c r="K88" s="3" t="inlineStr">
        <is>
          <t>2018–2022: p. 33, 48</t>
        </is>
      </c>
      <c r="L88" s="3" t="inlineStr">
        <is>
          <t>medicion-de-la-inversion-privada-en-i-d-como-del-pib</t>
        </is>
      </c>
    </row>
    <row r="89">
      <c r="A89" s="3" t="inlineStr">
        <is>
          <t>Programa Colombia BIO</t>
        </is>
      </c>
      <c r="B89" s="3" t="inlineStr">
        <is>
          <t>organización</t>
        </is>
      </c>
      <c r="C89" s="3" t="inlineStr">
        <is>
          <t>terminación</t>
        </is>
      </c>
      <c r="D89" s="3" t="inlineStr">
        <is>
          <t>logrado</t>
        </is>
      </c>
      <c r="E89" s="3" t="inlineStr">
        <is>
          <t>—</t>
        </is>
      </c>
      <c r="F89" s="3" t="inlineStr">
        <is>
          <t>Bioeconomía; Orientación estratégica de la CTeI</t>
        </is>
      </c>
      <c r="G89" s="3" t="inlineStr">
        <is>
          <t>Ministerio de Ciencia, Tecnología e Innovación (Minciencias); Colciencias (antecedente institucional); Instituto Amazónico de Investigaciones Científicas SINCHI; Instituto de Investigaciones de la Amazonía Peruana</t>
        </is>
      </c>
      <c r="H89" s="3" t="inlineStr">
        <is>
          <t>El programa Colombia BIO no tiene continuidad nominal ni de indicadores en el gobierno Petro; su relevo funcional es la Misión Bioeconomía y Territorio, que se trata como un instrumento/política distinta en el nuevo marco de misiones (PIIOM), por lo que se clasifica como terminación de este instrumento específico.</t>
        </is>
      </c>
      <c r="I89" s="3" t="inlineStr">
        <is>
          <t>Bajo Duque, Colombia BIO fue el programa insignia de la Economía Bioproductiva: financió proyectos de I+D+i con potencial de generar bioproductos (87 de meta 126 en el cuatrienio) y gestionó 22 expediciones científicas de bioprospección e inventario de biodiversidad entre 2019 y 2021 (Providencia, Seaflower, Pacífico, Alas-Cantos-Colores, expedición binacional Perú-Colombia, entre otras), como antecedente directo de la misión de bioeconomía recomendada por la Misión Internacional de Sabios.</t>
        </is>
      </c>
      <c r="J89" s="3" t="inlineStr">
        <is>
          <t>El informe de empalme de MinCiencias 2022-2026 no menciona el Programa Colombia BIO ni continúa sus indicadores; en su lugar aparece la nueva Misión Bioeconomía y Territorio (una de las 5 PIIOM), con mecanismos, convocatorias (ej. 936/2023) y lógica de misión distintos, registrada como política separada.</t>
        </is>
      </c>
      <c r="K89" s="3" t="inlineStr">
        <is>
          <t>2018–2022: p. 29, 30, 31</t>
        </is>
      </c>
      <c r="L89" s="3" t="inlineStr">
        <is>
          <t>programa-colombia-bio</t>
        </is>
      </c>
    </row>
    <row r="90">
      <c r="A90" s="3" t="inlineStr">
        <is>
          <t>iBOL Colombia (código de barras de ADN en BoldSystems)</t>
        </is>
      </c>
      <c r="B90" s="3" t="inlineStr">
        <is>
          <t>nodalidad</t>
        </is>
      </c>
      <c r="C90" s="3" t="inlineStr">
        <is>
          <t>terminación</t>
        </is>
      </c>
      <c r="D90" s="3" t="inlineStr">
        <is>
          <t>pendiente</t>
        </is>
      </c>
      <c r="E90" s="3" t="inlineStr">
        <is>
          <t>—</t>
        </is>
      </c>
      <c r="F90" s="3" t="inlineStr">
        <is>
          <t>Bioeconomía</t>
        </is>
      </c>
      <c r="G90" s="3" t="inlineStr">
        <is>
          <t>Ministerio de Ciencia, Tecnología e Innovación (Minciencias); Universidades e Institutos del Sistema Nacional Ambiental</t>
        </is>
      </c>
      <c r="H90" s="3" t="inlineStr">
        <is>
          <t>Sin evidencia textual de continuidad de iBOL Colombia en el informe 2022-2026: el instrumento aparece como pendiente/rezagado en 2018-2022 y no tiene mención de seguimiento posterior, por lo que se clasifica como terminación (al menos en términos de visibilidad e informe institucional).</t>
        </is>
      </c>
      <c r="I90" s="3" t="inlineStr">
        <is>
          <t>Bajo Duque, iBOL Colombia operó como la red nacional (universidades e institutos del Sistema Nacional Ambiental) encargada de generar códigos de barra de ADN de especímenes recolectados en expediciones, reportados en la plataforma internacional BoldSystems, en cumplimiento de la Acción 1.9 del CONPES 3934 (línea de bioeconomía); el informe de empalme reconoce que la meta de registros quedó por debajo de lo esperado por el alto costo de los análisis genéticos.</t>
        </is>
      </c>
      <c r="J90" s="3" t="inlineStr">
        <is>
          <t>El informe de empalme de MinCiencias 2022-2026 no menciona iBOL Colombia ni el indicador de códigos de barra de ADN; la nueva Misión Bioeconomía y Territorio no retoma explícitamente este instrumento en el texto revisado.</t>
        </is>
      </c>
      <c r="K90" s="3" t="inlineStr">
        <is>
          <t>2018–2022: p. 50, 51</t>
        </is>
      </c>
      <c r="L90" s="3" t="inlineStr">
        <is>
          <t>ibol-colombia-codigo-de-barras-de-adn-en-boldsystems</t>
        </is>
      </c>
    </row>
    <row r="91">
      <c r="A91" s="3" t="inlineStr">
        <is>
          <t>Comité Asesor Nacional en Inteligencia Artificial</t>
        </is>
      </c>
      <c r="B91" s="3" t="inlineStr">
        <is>
          <t>organización</t>
        </is>
      </c>
      <c r="C91" s="3" t="inlineStr">
        <is>
          <t>estratificación</t>
        </is>
      </c>
      <c r="D91" s="3" t="inlineStr">
        <is>
          <t>—</t>
        </is>
      </c>
      <c r="E91" s="3" t="inlineStr">
        <is>
          <t>logrado</t>
        </is>
      </c>
      <c r="F91" s="3" t="inlineStr">
        <is>
          <t>Inteligencia artificial</t>
        </is>
      </c>
      <c r="G91" s="3" t="inlineStr">
        <is>
          <t>Minciencias; MinTIC; Alta Consejería para la Transformación Digital; DNP</t>
        </is>
      </c>
      <c r="H91" s="3" t="inlineStr">
        <is>
          <t>Instrumento nuevo (estratificación): capacidad organizacional de coordinación intersectorial para la gobernanza de la IA que no existía en el gobierno anterior.</t>
        </is>
      </c>
      <c r="I91" s="3" t="inlineStr">
        <is>
          <t>No existe: este órgano se crea como parte del CONPES 4144, política formulada y aprobada en 2025 bajo el gobierno Petro.</t>
        </is>
      </c>
      <c r="J91" s="3" t="inlineStr">
        <is>
          <t>Instancia de gobernanza creada en el marco del CONPES 4144 (aprobado 14 de febrero de 2025) para promover una IA ética, responsable y sostenible, atendiendo investigación científica, avance tecnológico y formación de talento.</t>
        </is>
      </c>
      <c r="K91" s="3" t="inlineStr">
        <is>
          <t>2022–2026: p. 44, 45</t>
        </is>
      </c>
      <c r="L91" s="3" t="inlineStr">
        <is>
          <t>comite-asesor-nacional-en-inteligencia-artificial</t>
        </is>
      </c>
    </row>
    <row r="92">
      <c r="A92" s="3" t="inlineStr">
        <is>
          <t>Hoja de Ruta de IA en Colombia</t>
        </is>
      </c>
      <c r="B92" s="3" t="inlineStr">
        <is>
          <t>nodalidad</t>
        </is>
      </c>
      <c r="C92" s="3" t="inlineStr">
        <is>
          <t>estratificación</t>
        </is>
      </c>
      <c r="D92" s="3" t="inlineStr">
        <is>
          <t>—</t>
        </is>
      </c>
      <c r="E92" s="3" t="inlineStr">
        <is>
          <t>logrado</t>
        </is>
      </c>
      <c r="F92" s="3" t="inlineStr">
        <is>
          <t>Inteligencia artificial</t>
        </is>
      </c>
      <c r="G92" s="3" t="inlineStr">
        <is>
          <t>Minciencias; MinTIC; Alta Consejería para la Transformación Digital; DNP</t>
        </is>
      </c>
      <c r="H92" s="3" t="inlineStr">
        <is>
          <t>Instrumento nuevo (estratificación): nodalidad/información estratégica que ordena la acción pública en IA, inexistente en el gobierno anterior.</t>
        </is>
      </c>
      <c r="I92" s="3" t="inlineStr">
        <is>
          <t>No existe en este periodo; es un producto del CONPES 4144 formulado bajo el gobierno Petro.</t>
        </is>
      </c>
      <c r="J92" s="3" t="inlineStr">
        <is>
          <t>Instrumento de planeación e información estratégica derivado del CONPES 4144, orientado a garantizar la adopción ética y sostenible de la IA en Colombia mediante lineamientos de desarrollo y aplicación.</t>
        </is>
      </c>
      <c r="K92" s="3" t="inlineStr">
        <is>
          <t>2022–2026: p. 44, 45</t>
        </is>
      </c>
      <c r="L92" s="3" t="inlineStr">
        <is>
          <t>hoja-de-ruta-de-ia-en-colombia</t>
        </is>
      </c>
    </row>
    <row r="93">
      <c r="A93" s="3" t="inlineStr">
        <is>
          <t>Proyecto de Ley de Inteligencia Artificial (radicado mayo 2025)</t>
        </is>
      </c>
      <c r="B93" s="3" t="inlineStr">
        <is>
          <t>autoridad</t>
        </is>
      </c>
      <c r="C93" s="3" t="inlineStr">
        <is>
          <t>estratificación</t>
        </is>
      </c>
      <c r="D93" s="3" t="inlineStr">
        <is>
          <t>—</t>
        </is>
      </c>
      <c r="E93" s="3" t="inlineStr">
        <is>
          <t>propuesto</t>
        </is>
      </c>
      <c r="F93" s="3" t="inlineStr">
        <is>
          <t>Inteligencia artificial</t>
        </is>
      </c>
      <c r="G93" s="3" t="inlineStr">
        <is>
          <t>Minciencias; MinTIC</t>
        </is>
      </c>
      <c r="H93" s="3" t="inlineStr">
        <is>
          <t>Instrumento nuevo (estratificación): primer intento de marco normativo (autoridad) específico para la IA en Colombia, sin antecedente en el gobierno anterior.</t>
        </is>
      </c>
      <c r="I93" s="3" t="inlineStr">
        <is>
          <t>No existe en este periodo.</t>
        </is>
      </c>
      <c r="J93" s="3" t="inlineStr">
        <is>
          <t>Proyecto de ley radicado en mayo de 2025 por Minciencias en alianza con MinTIC, en el marco del CONPES 4144, para regular el desarrollo ético, seguro y responsable de la IA en Colombia; a la fecha del informe de empalme se reporta como radicado (pendiente de trámite legislativo, no aprobado).</t>
        </is>
      </c>
      <c r="K93" s="3" t="inlineStr">
        <is>
          <t>2022–2026: p. 44, 45</t>
        </is>
      </c>
      <c r="L93" s="3" t="inlineStr">
        <is>
          <t>proyecto-de-ley-de-inteligencia-artificial-radicado-mayo-2025</t>
        </is>
      </c>
    </row>
    <row r="94">
      <c r="A94" s="3" t="inlineStr">
        <is>
          <t>Programa ColombIA Inteligente (convocatorias de IA articuladas con PIIOM)</t>
        </is>
      </c>
      <c r="B94" s="3" t="inlineStr">
        <is>
          <t>tesoro</t>
        </is>
      </c>
      <c r="C94" s="3" t="inlineStr">
        <is>
          <t>estratificación</t>
        </is>
      </c>
      <c r="D94" s="3" t="inlineStr">
        <is>
          <t>—</t>
        </is>
      </c>
      <c r="E94" s="3" t="inlineStr">
        <is>
          <t>logrado</t>
        </is>
      </c>
      <c r="F94" s="3" t="inlineStr">
        <is>
          <t>Inteligencia artificial; Orientación estratégica de la CTeI; Transición energética; Bioeconomía; Soberanía sanitaria y bienestar social; Derecho humano a la alimentación; Talento humano y capacidades regionales</t>
        </is>
      </c>
      <c r="G94" s="3" t="inlineStr">
        <is>
          <t>Minciencias (OAPII); Sistema General de Regalías (SGR)/OCAD</t>
        </is>
      </c>
      <c r="H94" s="3" t="inlineStr">
        <is>
          <t>Instrumento nuevo (estratificación): fuente de financiación de investigación en IA articulada explícitamente con las misiones PIIOM, inexistente antes de la formulación de las PIIOM y el CONPES 4144.</t>
        </is>
      </c>
      <c r="I94" s="3" t="inlineStr">
        <is>
          <t>No existe como tal en este periodo; el informe 2018-2022 no reporta convocatorias de IA articuladas con las PIIOM (que son un instrumento posterior, de 2024).</t>
        </is>
      </c>
      <c r="J94" s="3" t="inlineStr">
        <is>
          <t>El Programa ColombIA Inteligente despliega convocatorias de I+D+i en IA (junto con ciencias cuánticas y tecnologías aeroespaciales) articuladas con las Políticas de Investigación e Innovación Orientadas por Misiones (PIIOM), en particular Transición Energética, Bioeconomía y Territorio, Soberanía Sanitaria y Bienestar Social, y Derecho Humano a la Alimentación, con financiación de Minciencias y SGR.</t>
        </is>
      </c>
      <c r="K94" s="3" t="inlineStr">
        <is>
          <t>2022–2026: p. 41, 42, 43, 44</t>
        </is>
      </c>
      <c r="L94" s="3" t="inlineStr">
        <is>
          <t>programa-colombia-inteligente-convocatorias-de-ia-articuladas-con-piiom</t>
        </is>
      </c>
    </row>
  </sheetData>
  <autoFilter ref="A1:L9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40" customWidth="1" min="3" max="3"/>
    <col width="70" customWidth="1" min="4" max="4"/>
  </cols>
  <sheetData>
    <row r="1">
      <c r="A1" s="10" t="inlineStr">
        <is>
          <t>Desde</t>
        </is>
      </c>
      <c r="B1" s="10" t="inlineStr">
        <is>
          <t>Relación</t>
        </is>
      </c>
      <c r="C1" s="10" t="inlineStr">
        <is>
          <t>Hacia</t>
        </is>
      </c>
      <c r="D1" s="10" t="inlineStr">
        <is>
          <t>Nota</t>
        </is>
      </c>
    </row>
    <row r="2">
      <c r="A2" s="3" t="inlineStr">
        <is>
          <t>Ley 2162 de 2021 (creación del Ministerio de Ciencia, Tecnología e Innovación)</t>
        </is>
      </c>
      <c r="B2" s="3" t="inlineStr">
        <is>
          <t>habilita</t>
        </is>
      </c>
      <c r="C2" s="3" t="inlineStr">
        <is>
          <t>Decreto 1666 de 2021 (Gobernanza del SNCTI)</t>
        </is>
      </c>
      <c r="D2" s="3" t="inlineStr">
        <is>
          <t>La Ley 2162 de 2021 crea el Ministerio y da el soporte legal para que se expida el Decreto 1666 de 2021 de gobernanza del SNCTI (Informe 2018-2022, líneas 476, 561-567, 2117-2128).</t>
        </is>
      </c>
    </row>
    <row r="3">
      <c r="A3" s="3" t="inlineStr">
        <is>
          <t>Ley 2162 de 2021 (creación del Ministerio de Ciencia, Tecnología e Innovación)</t>
        </is>
      </c>
      <c r="B3" s="3" t="inlineStr">
        <is>
          <t>habilita</t>
        </is>
      </c>
      <c r="C3" s="3" t="inlineStr">
        <is>
          <t>CONPES 4069 de 2021 - Política Nacional de CTeI 2022-2031</t>
        </is>
      </c>
      <c r="D3" s="3" t="inlineStr">
        <is>
          <t>La creación del Ministerio (Ley 2162) da soporte institucional para formular y adoptar el CONPES 4069 de 2021 (Informe 2018-2022, líneas 2117-2140).</t>
        </is>
      </c>
    </row>
    <row r="4">
      <c r="A4" s="3" t="inlineStr">
        <is>
          <t>CONPES 4069 de 2021 - Política Nacional de CTeI 2022-2031</t>
        </is>
      </c>
      <c r="B4" s="3" t="inlineStr">
        <is>
          <t>habilita</t>
        </is>
      </c>
      <c r="C4" s="3" t="inlineStr">
        <is>
          <t>Resolución 1452 de 2024 (adopción PIIOM)</t>
        </is>
      </c>
      <c r="D4" s="3" t="inlineStr">
        <is>
          <t>El CONPES 4069 (2021) establece el marco de política nacional de CTeI que da soporte a la adopción posterior de las PIIOM mediante Resolución 1452 de 2024 (Informe 2022-2026, líneas 78, 1105-1162, 3312, 3402).</t>
        </is>
      </c>
    </row>
    <row r="5">
      <c r="A5" s="3" t="inlineStr">
        <is>
          <t>Resolución 1452 de 2024 (adopción PIIOM)</t>
        </is>
      </c>
      <c r="B5" s="3" t="inlineStr">
        <is>
          <t>depende de</t>
        </is>
      </c>
      <c r="C5" s="3" t="inlineStr">
        <is>
          <t>Metodología nacional de seis etapas de las PIIOM</t>
        </is>
      </c>
      <c r="D5" s="3" t="inlineStr">
        <is>
          <t>La construcción de cada misión PIIOM dependió de la metodología nacional de seis etapas técnicas y participativas estructurada por el Ministerio (Informe 2022-2026, línea 1120).</t>
        </is>
      </c>
    </row>
    <row r="6">
      <c r="A6" s="3" t="inlineStr">
        <is>
          <t>CONPES 4069 de 2021 - Política Nacional de CTeI 2022-2031</t>
        </is>
      </c>
      <c r="B6" s="3" t="inlineStr">
        <is>
          <t>habilita</t>
        </is>
      </c>
      <c r="C6" s="3" t="inlineStr">
        <is>
          <t>Política Nacional de Ciencia Abierta 2022-2031 (Resolución 0777 de 2022)</t>
        </is>
      </c>
      <c r="D6" s="3" t="inlineStr">
        <is>
          <t>La Política Nacional de Ciencia Abierta (Resolución 0777 de 2022) se formula en el marco del CONPES 4069 de 2021 (Informe 2022-2026, línea 3214).</t>
        </is>
      </c>
    </row>
    <row r="7">
      <c r="A7" s="3" t="inlineStr">
        <is>
          <t>Ley 2162 de 2021 (creación del Ministerio de Ciencia, Tecnología e Innovación)</t>
        </is>
      </c>
      <c r="B7" s="3" t="inlineStr">
        <is>
          <t>habilita</t>
        </is>
      </c>
      <c r="C7" s="3" t="inlineStr">
        <is>
          <t>Política Nacional de Ciencia Abierta 2022-2031 (Resolución 0777 de 2022)</t>
        </is>
      </c>
      <c r="D7" s="3" t="inlineStr">
        <is>
          <t>La Ley 2162 de 2021, que crea el Ministerio, ofrece las bases legales (mandato del artículo 171) para implementar la Política Nacional de Ciencia Abierta (Informe 2022-2026, líneas 3194-3214).</t>
        </is>
      </c>
    </row>
    <row r="8">
      <c r="A8" s="3" t="inlineStr">
        <is>
          <t>Sistema General de Regalías (SGR) - Asignación para la CTeI / OCAD CTeI</t>
        </is>
      </c>
      <c r="B8" s="3" t="inlineStr">
        <is>
          <t>financia</t>
        </is>
      </c>
      <c r="C8" s="3" t="inlineStr">
        <is>
          <t>Programa de Formación de Alto Nivel (doctorados y maestrías) 2022-2026</t>
        </is>
      </c>
      <c r="D8" s="3" t="inlineStr">
        <is>
          <t>El Programa de Formación de Alto Nivel se financia con PGN $490.203 millones y Regalías $882.000 millones (Informe 2022-2026, líneas 1239, 2017, 2040).</t>
        </is>
      </c>
    </row>
    <row r="9">
      <c r="A9" s="3" t="inlineStr">
        <is>
          <t>Fondo Francisco José de Caldas (FFJC)</t>
        </is>
      </c>
      <c r="B9" s="3" t="inlineStr">
        <is>
          <t>financia</t>
        </is>
      </c>
      <c r="C9" s="3" t="inlineStr">
        <is>
          <t>Programa Orquídeas: Mujeres en la Ciencia (con sus convocatorias 935/948/963)</t>
        </is>
      </c>
      <c r="D9" s="3" t="inlineStr">
        <is>
          <t>El FFJC es el principal instrumento financiero que administra los recursos de las convocatorias del Programa Orquídeas (935/2023, 948/2024, 963/2025) (Informe 2022-2026, líneas 1586-1943, 8219-8229).</t>
        </is>
      </c>
    </row>
    <row r="10">
      <c r="A10" s="3" t="inlineStr">
        <is>
          <t>Sistema General de Regalías (SGR) - Asignación para la CTeI / OCAD CTeI</t>
        </is>
      </c>
      <c r="B10" s="3" t="inlineStr">
        <is>
          <t>financia</t>
        </is>
      </c>
      <c r="C10" s="3" t="inlineStr">
        <is>
          <t>Programa Orquídeas: Mujeres en la Ciencia (con sus convocatorias 935/948/963)</t>
        </is>
      </c>
      <c r="D10" s="3" t="inlineStr">
        <is>
          <t>El Programa Orquídeas suma recursos del SGR por $882.000 millones adicionales a los aportes de Minciencias (Informe 2022-2026, líneas 2017, 2040).</t>
        </is>
      </c>
    </row>
    <row r="11">
      <c r="A11" s="3" t="inlineStr">
        <is>
          <t>Sistema General de Regalías (SGR) - Asignación para la CTeI / OCAD CTeI</t>
        </is>
      </c>
      <c r="B11" s="3" t="inlineStr">
        <is>
          <t>financia</t>
        </is>
      </c>
      <c r="C11" s="3" t="inlineStr">
        <is>
          <t>Programa ONDAS</t>
        </is>
      </c>
      <c r="D11" s="3" t="inlineStr">
        <is>
          <t>El Programa ONDAS recibe $24.439 millones del SGR además de recursos de Minciencias (Informe 2022-2026, líneas 2380-2389).</t>
        </is>
      </c>
    </row>
    <row r="12">
      <c r="A12" s="3" t="inlineStr">
        <is>
          <t>Sistema General de Regalías (SGR) - Asignación para la CTeI / OCAD CTeI</t>
        </is>
      </c>
      <c r="B12" s="3" t="inlineStr">
        <is>
          <t>financia</t>
        </is>
      </c>
      <c r="C12" s="3" t="inlineStr">
        <is>
          <t>Misión Soberanía Sanitaria y Bienestar Social (marco misional PIIOM)</t>
        </is>
      </c>
      <c r="D12" s="3" t="inlineStr">
        <is>
          <t>La Misión Soberanía Sanitaria suma recursos del SGR por $158.287 millones a través de la Convocatoria/OCAD SGR 38 (Informe 2022-2026, línea 1819).</t>
        </is>
      </c>
    </row>
    <row r="13">
      <c r="A13" s="3" t="inlineStr">
        <is>
          <t>Convocatoria/OCAD SGR 38 - Seguridad sanitaria y bienestar</t>
        </is>
      </c>
      <c r="B13" s="3" t="inlineStr">
        <is>
          <t>financia</t>
        </is>
      </c>
      <c r="C13" s="3" t="inlineStr">
        <is>
          <t>Misión Soberanía Sanitaria y Bienestar Social (marco misional PIIOM)</t>
        </is>
      </c>
      <c r="D13" s="3" t="inlineStr">
        <is>
          <t>La Convocatoria/OCAD SGR 38 aporta $158.287 millones específicamente a la Misión Soberanía Sanitaria y Bienestar Social (Informe 2022-2026, línea 1819).</t>
        </is>
      </c>
    </row>
    <row r="14">
      <c r="A14" s="3" t="inlineStr">
        <is>
          <t>Resolución 1452 de 2024 (adopción PIIOM)</t>
        </is>
      </c>
      <c r="B14" s="3" t="inlineStr">
        <is>
          <t>habilita</t>
        </is>
      </c>
      <c r="C14" s="3" t="inlineStr">
        <is>
          <t>Misión Soberanía Sanitaria y Bienestar Social (marco misional PIIOM)</t>
        </is>
      </c>
      <c r="D14" s="3" t="inlineStr">
        <is>
          <t>La Resolución 1452 de 2024 adopta formalmente las cinco PIIOM, entre ellas la Misión Soberanía Sanitaria (Informe 2022-2026, líneas 803, 3312-3402).</t>
        </is>
      </c>
    </row>
    <row r="15">
      <c r="A15" s="3" t="inlineStr">
        <is>
          <t>Programa de Beneficios Tributarios para CTeI</t>
        </is>
      </c>
      <c r="B15" s="3" t="inlineStr">
        <is>
          <t>financia</t>
        </is>
      </c>
      <c r="C15" s="3" t="inlineStr">
        <is>
          <t>Fondo Francisco José de Caldas (FFJC)</t>
        </is>
      </c>
      <c r="D15" s="3" t="inlineStr">
        <is>
          <t>Los contribuyentes pueden acceder a beneficios tributarios por donación al Fondo Francisco José de Caldas, canalizando recursos privados hacia el fondo (Informe 2018-2022, líneas 1814-1816; Informe 2022-2026, línea 9636).</t>
        </is>
      </c>
    </row>
    <row r="16">
      <c r="A16" s="3" t="inlineStr">
        <is>
          <t>CONPES 4069 de 2021 - Política Nacional de CTeI 2022-2031</t>
        </is>
      </c>
      <c r="B16" s="3" t="inlineStr">
        <is>
          <t>habilita</t>
        </is>
      </c>
      <c r="C16" s="3" t="inlineStr">
        <is>
          <t>Programa de Beneficios Tributarios para CTeI</t>
        </is>
      </c>
      <c r="D16" s="3" t="inlineStr">
        <is>
          <t>El CONPES 4069 de 2021 dispone cupos de Beneficios Tributarios y del SGR para el periodo 2022-2031 como instrumentos de la política (Informe 2018-2022, línea 1655).</t>
        </is>
      </c>
    </row>
    <row r="17">
      <c r="A17" s="3" t="inlineStr">
        <is>
          <t>Resolución 1452 de 2024 (adopción PIIOM)</t>
        </is>
      </c>
      <c r="B17" s="3" t="inlineStr">
        <is>
          <t>encadena</t>
        </is>
      </c>
      <c r="C17" s="3" t="inlineStr">
        <is>
          <t>Programa ColombIA Inteligente (convocatorias de IA articuladas con PIIOM)</t>
        </is>
      </c>
      <c r="D17" s="3" t="inlineStr">
        <is>
          <t>El Programa ColombIA Inteligente se articula y encadena con las Políticas de Investigación e Innovación Orientadas por Misiones (Informe 2022-2026, línea 2088, 2297).</t>
        </is>
      </c>
    </row>
    <row r="18">
      <c r="A18" s="3" t="inlineStr">
        <is>
          <t>Sistema General de Regalías (SGR) - Asignación para la CTeI / OCAD CTeI</t>
        </is>
      </c>
      <c r="B18" s="3" t="inlineStr">
        <is>
          <t>financia</t>
        </is>
      </c>
      <c r="C18" s="3" t="inlineStr">
        <is>
          <t>Programa ColombIA Inteligente (convocatorias de IA articuladas con PIIOM)</t>
        </is>
      </c>
      <c r="D18" s="3" t="inlineStr">
        <is>
          <t>La Convocatoria 46 ColombIA Inteligente de 2025 cuenta con recursos por $630.000 millones provenientes del Sistema General de Regalías (Informe 2022-2026, líneas 2479-2480).</t>
        </is>
      </c>
    </row>
    <row r="19">
      <c r="A19" s="3" t="inlineStr">
        <is>
          <t>Ley 2162 de 2021 (creación del Ministerio de Ciencia, Tecnología e Innovación)</t>
        </is>
      </c>
      <c r="B19" s="3" t="inlineStr">
        <is>
          <t>habilita</t>
        </is>
      </c>
      <c r="C19" s="3" t="inlineStr">
        <is>
          <t>Consejo Nacional de Política de Ciencia, Tecnología e Innovación (CONACTI)</t>
        </is>
      </c>
      <c r="D19" s="3" t="inlineStr">
        <is>
          <t>La Ley 2162 de 2021 y su nueva institucionalidad dan soporte legal a la gobernanza del SNCTI, incluyendo instancias como el CONACTI (Informe 2018-2022, líneas 2117-2128).</t>
        </is>
      </c>
    </row>
    <row r="20">
      <c r="A20" s="3" t="inlineStr">
        <is>
          <t>Decreto 1666 de 2021 (Gobernanza del SNCTI)</t>
        </is>
      </c>
      <c r="B20" s="3" t="inlineStr">
        <is>
          <t>habilita</t>
        </is>
      </c>
      <c r="C20" s="3" t="inlineStr">
        <is>
          <t>Consejo Nacional de Política de Ciencia, Tecnología e Innovación (CONACTI)</t>
        </is>
      </c>
      <c r="D20" s="3" t="inlineStr">
        <is>
          <t>El Decreto 1666 de 2021 de gobernanza del SNCTI da soporte normativo directo a la conformación del CONACTI (Informe 2018-2022, líneas 2128, 6067-6098).</t>
        </is>
      </c>
    </row>
    <row r="21">
      <c r="A21" s="3" t="inlineStr">
        <is>
          <t>Decreto 1666 de 2021 (Gobernanza del SNCTI)</t>
        </is>
      </c>
      <c r="B21" s="3" t="inlineStr">
        <is>
          <t>habilita</t>
        </is>
      </c>
      <c r="C21" s="3" t="inlineStr">
        <is>
          <t>Consejo Científico Nacional (CCN)</t>
        </is>
      </c>
      <c r="D21" s="3" t="inlineStr">
        <is>
          <t>El Decreto 1666 de 2021 de gobernanza del SNCTI establece la creación y funciones del Consejo Científico Nacional (Informe 2018-2022, líneas 2128, 6727-6892).</t>
        </is>
      </c>
    </row>
    <row r="22">
      <c r="A22" s="3" t="inlineStr">
        <is>
          <t>Decreto 1666 de 2021 (Gobernanza del SNCTI)</t>
        </is>
      </c>
      <c r="B22" s="3" t="inlineStr">
        <is>
          <t>habilita</t>
        </is>
      </c>
      <c r="C22" s="3" t="inlineStr">
        <is>
          <t>Consejos Departamentales de Ciencia, Tecnología e Innovación (CODECTI)</t>
        </is>
      </c>
      <c r="D22" s="3" t="inlineStr">
        <is>
          <t>El Decreto 1666 de 2021 de gobernanza del SNCTI da marco normativo a los Consejos Departamentales de CTeI (CODECTI) dentro del sistema (Informe 2018-2022, líneas 2128, 6067-6098).</t>
        </is>
      </c>
    </row>
    <row r="23">
      <c r="A23" s="3" t="inlineStr">
        <is>
          <t>Programa de Formación de Alto Nivel (doctorados y maestrías) 2022-2026</t>
        </is>
      </c>
      <c r="B23" s="3" t="inlineStr">
        <is>
          <t>encadena</t>
        </is>
      </c>
      <c r="C23" s="3" t="inlineStr">
        <is>
          <t>Programa Orquídeas: Mujeres en la Ciencia (con sus convocatorias 935/948/963)</t>
        </is>
      </c>
      <c r="D23" s="3" t="inlineStr">
        <is>
          <t>Las Estancias Postdoctorales, Jóvenes Investigadoras y doctoras del Programa de Formación de Alto Nivel se articulan y encadenan con las beneficiarias del Programa Orquídeas (Informe 2022-2026, líneas 1254, 2120, 2466-2467).</t>
        </is>
      </c>
    </row>
  </sheetData>
  <autoFilter ref="A1:D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2026-09-27T19:47:27Z</dcterms:created>
  <dcterms:modified xsi:type="dcterms:W3CDTF">2026-09-27T19:47:27Z</dcterms:modified>
</cp:coreProperties>
</file>